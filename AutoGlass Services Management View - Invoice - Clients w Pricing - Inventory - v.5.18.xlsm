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vin\Downloads\"/>
    </mc:Choice>
  </mc:AlternateContent>
  <xr:revisionPtr revIDLastSave="546" documentId="13_ncr:1_{B4C1F997-CAC7-4347-95F9-A18A03631954}" xr6:coauthVersionLast="47" xr6:coauthVersionMax="47" xr10:uidLastSave="{EAE88CEC-C93B-4010-8BDE-842FDE9C6D8D}"/>
  <bookViews>
    <workbookView xWindow="-120" yWindow="-120" windowWidth="38640" windowHeight="21120" firstSheet="1" activeTab="3" xr2:uid="{BA5CDAAC-9F29-4C19-97CA-3717F8ED7B13}"/>
  </bookViews>
  <sheets>
    <sheet name="WorkBook" sheetId="4" r:id="rId1"/>
    <sheet name="Invoice Creator" sheetId="1" r:id="rId2"/>
    <sheet name="Prices for Companys &amp; Info" sheetId="2" r:id="rId3"/>
    <sheet name="Inventory &amp; Unit Pricing" sheetId="3" r:id="rId4"/>
    <sheet name="Company Names &amp; WB Descriptions" sheetId="6" r:id="rId5"/>
    <sheet name="Pricing States" sheetId="10" r:id="rId6"/>
    <sheet name="WorkBook Controller" sheetId="8" r:id="rId7"/>
    <sheet name="Sheet1" sheetId="9" r:id="rId8"/>
  </sheets>
  <definedNames>
    <definedName name="_xleta.EXP" hidden="1" xlm="1">#NAME?</definedName>
    <definedName name="_xleta.INDEX" hidden="1" xlm="1">#NAME?</definedName>
    <definedName name="_xleta.INFO" hidden="1" xlm="1">#NAME?</definedName>
    <definedName name="_xleta.MATCH" hidden="1" xlm="1">#NAME?</definedName>
    <definedName name="_xleta.PRICE" hidden="1" xlm="1">#NAME?</definedName>
    <definedName name="_xleta.VLOOKUP" hidden="1" xlm="1">#NAME?</definedName>
    <definedName name="Company_Names">Table6[Company Names]</definedName>
    <definedName name="Inv_Model_Names">InventoryTable[Model Name]</definedName>
    <definedName name="Inv_Part_Num">InventoryTable[Part Number]</definedName>
    <definedName name="Invoice_Amounts_Column">InvoiceCreatorTable[Amount]</definedName>
    <definedName name="Invoice_Empty_Rows_Input">'Invoice Creator'!$F$1</definedName>
    <definedName name="Invoice_Part_numbers_Column">#REF!</definedName>
    <definedName name="Invoice_Selected_Invoice_Num">'Invoice Creator'!$D$1</definedName>
    <definedName name="Invoice_Set_Company_Name">'Invoice Creator'!$D$6</definedName>
    <definedName name="MakeModelColum">#REF!</definedName>
    <definedName name="Payment_Status_States">Table8[Payment Status]</definedName>
    <definedName name="Payment_Types_Collection">Table7[Payment Types]</definedName>
    <definedName name="PFC_Company_Name_Column">PricePerClientTable[COMPANY]</definedName>
    <definedName name="PFC_Part_Numbers_Column">PricePerClientTable[PART NUMBER]</definedName>
    <definedName name="PFC_Part_Pricing_Per_Instance">#REF!</definedName>
    <definedName name="PFC_Prices_Colum">PricePerClientTable[PRICE]</definedName>
    <definedName name="PricingPerCompany">PricePerClientTable[]</definedName>
    <definedName name="_xlnm.Print_Area" localSheetId="1">'Invoice Creator'!$A$1:$D$24</definedName>
    <definedName name="_xlnm.Print_Area" localSheetId="0">WorkBookTable[#All]</definedName>
    <definedName name="WB_Company_Names_Column">WorkBookTable[Company]</definedName>
    <definedName name="WB_Invoice_Num">WorkBookTable[Invoice'#]</definedName>
    <definedName name="WB_Part_Number_Column">WorkBookTable[Part Number]</definedName>
    <definedName name="WorkBook">WorkBookTable[]</definedName>
    <definedName name="WorkBook_Descriptions">Table5[WorkBook Descriptions]</definedName>
    <definedName name="WorkBook_Save_Date">'WorkBook Controller'!$S$4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 a="1"/>
  <c r="H50" i="4"/>
  <c r="H33" i="4" a="1"/>
  <c r="H33" i="4"/>
  <c r="H32" i="4" a="1"/>
  <c r="H32" i="4"/>
  <c r="H47" i="4" a="1"/>
  <c r="H47" i="4"/>
  <c r="H10" i="4" a="1"/>
  <c r="H10" i="4"/>
  <c r="H4" i="4" a="1"/>
  <c r="H4" i="4"/>
  <c r="H2" i="4" a="1"/>
  <c r="H2" i="4"/>
  <c r="D265" i="2" a="1"/>
  <c r="D265" i="2"/>
  <c r="D24" i="1"/>
  <c r="D282" i="2" a="1"/>
  <c r="D282" i="2" s="1"/>
  <c r="D281" i="2" a="1"/>
  <c r="D281" i="2" s="1"/>
  <c r="D280" i="2" a="1"/>
  <c r="D280" i="2" s="1"/>
  <c r="D145" i="2" a="1"/>
  <c r="D145" i="2" s="1"/>
  <c r="E50" i="4" a="1"/>
  <c r="E50" i="4" s="1"/>
  <c r="E49" i="4" a="1"/>
  <c r="E49" i="4" s="1"/>
  <c r="E48" i="4" a="1"/>
  <c r="E48" i="4" s="1"/>
  <c r="E47" i="4" a="1"/>
  <c r="E47" i="4" s="1"/>
  <c r="E46" i="4" a="1"/>
  <c r="E46" i="4" s="1"/>
  <c r="E45" i="4" a="1"/>
  <c r="E45" i="4" s="1"/>
  <c r="E44" i="4" a="1"/>
  <c r="E44" i="4" s="1"/>
  <c r="E43" i="4" a="1"/>
  <c r="E43" i="4" s="1"/>
  <c r="E42" i="4" a="1"/>
  <c r="E42" i="4" s="1"/>
  <c r="E41" i="4" a="1"/>
  <c r="E41" i="4" s="1"/>
  <c r="E40" i="4" a="1"/>
  <c r="E40" i="4" s="1"/>
  <c r="E39" i="4" a="1"/>
  <c r="E39" i="4" s="1"/>
  <c r="E38" i="4" a="1"/>
  <c r="E38" i="4" s="1"/>
  <c r="E37" i="4" a="1"/>
  <c r="E37" i="4" s="1"/>
  <c r="D275" i="2" a="1"/>
  <c r="D275" i="2" s="1"/>
  <c r="D276" i="2" a="1"/>
  <c r="D276" i="2" s="1"/>
  <c r="D277" i="2" a="1"/>
  <c r="D277" i="2" s="1"/>
  <c r="D278" i="2" a="1"/>
  <c r="D278" i="2" s="1"/>
  <c r="D279" i="2" a="1"/>
  <c r="D279" i="2" s="1"/>
  <c r="D274" i="2" a="1"/>
  <c r="D274" i="2" s="1"/>
  <c r="E36" i="4" a="1"/>
  <c r="E36" i="4" s="1"/>
  <c r="E35" i="4" a="1"/>
  <c r="E35" i="4" s="1"/>
  <c r="E34" i="4" a="1"/>
  <c r="E34" i="4" s="1"/>
  <c r="H34" i="4" a="1"/>
  <c r="H34" i="4" s="1"/>
  <c r="D273" i="2" a="1"/>
  <c r="D273" i="2" s="1"/>
  <c r="D272" i="2" a="1"/>
  <c r="D272" i="2" s="1"/>
  <c r="D271" i="2" a="1"/>
  <c r="D271" i="2" s="1"/>
  <c r="D270" i="2" a="1"/>
  <c r="D270" i="2" s="1"/>
  <c r="D269" i="2" a="1"/>
  <c r="D269" i="2" s="1"/>
  <c r="D268" i="2" a="1"/>
  <c r="D268" i="2" s="1"/>
  <c r="D267" i="2" a="1"/>
  <c r="D267" i="2" s="1"/>
  <c r="D266" i="2" a="1"/>
  <c r="D266" i="2" s="1"/>
  <c r="D264" i="2" a="1"/>
  <c r="D264" i="2" s="1"/>
  <c r="D263" i="2" a="1"/>
  <c r="D263" i="2" s="1"/>
  <c r="D262" i="2" a="1"/>
  <c r="D262" i="2" s="1"/>
  <c r="D261" i="2" a="1"/>
  <c r="D261" i="2" s="1"/>
  <c r="D260" i="2" a="1"/>
  <c r="D260" i="2" s="1"/>
  <c r="D259" i="2" a="1"/>
  <c r="D259" i="2" s="1"/>
  <c r="D258" i="2" a="1"/>
  <c r="D258" i="2" s="1"/>
  <c r="D257" i="2" a="1"/>
  <c r="D257" i="2" s="1"/>
  <c r="D256" i="2" a="1"/>
  <c r="D256" i="2" s="1"/>
  <c r="D255" i="2" a="1"/>
  <c r="D255" i="2" s="1"/>
  <c r="D254" i="2" a="1"/>
  <c r="D254" i="2" s="1"/>
  <c r="D253" i="2" a="1"/>
  <c r="D253" i="2" s="1"/>
  <c r="D252" i="2" a="1"/>
  <c r="D252" i="2" s="1"/>
  <c r="D251" i="2" a="1"/>
  <c r="D251" i="2" s="1"/>
  <c r="D250" i="2" a="1"/>
  <c r="D250" i="2" s="1"/>
  <c r="D249" i="2" a="1"/>
  <c r="D249" i="2" s="1"/>
  <c r="D248" i="2" a="1"/>
  <c r="D248" i="2" s="1"/>
  <c r="D247" i="2" a="1"/>
  <c r="D247" i="2" s="1"/>
  <c r="D246" i="2" a="1"/>
  <c r="D246" i="2" s="1"/>
  <c r="D245" i="2" a="1"/>
  <c r="D245" i="2" s="1"/>
  <c r="D244" i="2" a="1"/>
  <c r="D244" i="2" s="1"/>
  <c r="D243" i="2" a="1"/>
  <c r="D243" i="2" s="1"/>
  <c r="D242" i="2" a="1"/>
  <c r="D242" i="2" s="1"/>
  <c r="D241" i="2" a="1"/>
  <c r="D241" i="2" s="1"/>
  <c r="D240" i="2" a="1"/>
  <c r="D240" i="2" s="1"/>
  <c r="D237" i="2" a="1"/>
  <c r="D237" i="2" s="1"/>
  <c r="D236" i="2" a="1"/>
  <c r="D236" i="2" s="1"/>
  <c r="D235" i="2" a="1"/>
  <c r="D235" i="2" s="1"/>
  <c r="D234" i="2" a="1"/>
  <c r="D234" i="2" s="1"/>
  <c r="D233" i="2" a="1"/>
  <c r="D233" i="2" s="1"/>
  <c r="D232" i="2" a="1"/>
  <c r="D232" i="2" s="1"/>
  <c r="D231" i="2" a="1"/>
  <c r="D231" i="2" s="1"/>
  <c r="D230" i="2" a="1"/>
  <c r="D230" i="2" s="1"/>
  <c r="D229" i="2" a="1"/>
  <c r="D229" i="2" s="1"/>
  <c r="D228" i="2" a="1"/>
  <c r="D228" i="2" s="1"/>
  <c r="D227" i="2" a="1"/>
  <c r="D227" i="2" s="1"/>
  <c r="D226" i="2" a="1"/>
  <c r="D226" i="2" s="1"/>
  <c r="D225" i="2" a="1"/>
  <c r="D225" i="2" s="1"/>
  <c r="D224" i="2" a="1"/>
  <c r="D224" i="2" s="1"/>
  <c r="D223" i="2" a="1"/>
  <c r="D223" i="2" s="1"/>
  <c r="D222" i="2" a="1"/>
  <c r="D222" i="2" s="1"/>
  <c r="D221" i="2" a="1"/>
  <c r="D221" i="2" s="1"/>
  <c r="D220" i="2" a="1"/>
  <c r="D220" i="2" s="1"/>
  <c r="D219" i="2" a="1"/>
  <c r="D219" i="2" s="1"/>
  <c r="D218" i="2" a="1"/>
  <c r="D218" i="2" s="1"/>
  <c r="D217" i="2" a="1"/>
  <c r="D217" i="2" s="1"/>
  <c r="D216" i="2" a="1"/>
  <c r="D216" i="2" s="1"/>
  <c r="D215" i="2" a="1"/>
  <c r="D215" i="2" s="1"/>
  <c r="D214" i="2" a="1"/>
  <c r="D214" i="2" s="1"/>
  <c r="D213" i="2" a="1"/>
  <c r="D213" i="2" s="1"/>
  <c r="D212" i="2" a="1"/>
  <c r="D212" i="2" s="1"/>
  <c r="D211" i="2" a="1"/>
  <c r="D211" i="2" s="1"/>
  <c r="D210" i="2" a="1"/>
  <c r="D210" i="2" s="1"/>
  <c r="D209" i="2" a="1"/>
  <c r="D209" i="2" s="1"/>
  <c r="D208" i="2" a="1"/>
  <c r="D208" i="2" s="1"/>
  <c r="D207" i="2" a="1"/>
  <c r="D207" i="2" s="1"/>
  <c r="D206" i="2" a="1"/>
  <c r="D206" i="2" s="1"/>
  <c r="D205" i="2" a="1"/>
  <c r="D205" i="2" s="1"/>
  <c r="D204" i="2" a="1"/>
  <c r="D204" i="2" s="1"/>
  <c r="D203" i="2" a="1"/>
  <c r="D203" i="2" s="1"/>
  <c r="D202" i="2" a="1"/>
  <c r="D202" i="2" s="1"/>
  <c r="D201" i="2" a="1"/>
  <c r="D201" i="2" s="1"/>
  <c r="D200" i="2" a="1"/>
  <c r="D200" i="2" s="1"/>
  <c r="D199" i="2" a="1"/>
  <c r="D199" i="2" s="1"/>
  <c r="D198" i="2" a="1"/>
  <c r="D198" i="2" s="1"/>
  <c r="D197" i="2" a="1"/>
  <c r="D197" i="2" s="1"/>
  <c r="D196" i="2" a="1"/>
  <c r="D196" i="2" s="1"/>
  <c r="D195" i="2" a="1"/>
  <c r="D195" i="2" s="1"/>
  <c r="D194" i="2" a="1"/>
  <c r="D194" i="2" s="1"/>
  <c r="D193" i="2" a="1"/>
  <c r="D193" i="2" s="1"/>
  <c r="D192" i="2" a="1"/>
  <c r="D192" i="2" s="1"/>
  <c r="D191" i="2" a="1"/>
  <c r="D191" i="2" s="1"/>
  <c r="D190" i="2" a="1"/>
  <c r="D190" i="2" s="1"/>
  <c r="D189" i="2" a="1"/>
  <c r="D189" i="2" s="1"/>
  <c r="D188" i="2" a="1"/>
  <c r="D188" i="2" s="1"/>
  <c r="D187" i="2" a="1"/>
  <c r="D187" i="2" s="1"/>
  <c r="D186" i="2" a="1"/>
  <c r="D186" i="2" s="1"/>
  <c r="D185" i="2" a="1"/>
  <c r="D185" i="2" s="1"/>
  <c r="D184" i="2" a="1"/>
  <c r="D184" i="2" s="1"/>
  <c r="D183" i="2" a="1"/>
  <c r="D183" i="2" s="1"/>
  <c r="D182" i="2" a="1"/>
  <c r="D182" i="2" s="1"/>
  <c r="D181" i="2" a="1"/>
  <c r="D181" i="2" s="1"/>
  <c r="D180" i="2" a="1"/>
  <c r="D180" i="2" s="1"/>
  <c r="D179" i="2" a="1"/>
  <c r="D179" i="2" s="1"/>
  <c r="D178" i="2" a="1"/>
  <c r="D178" i="2" s="1"/>
  <c r="D177" i="2" a="1"/>
  <c r="D177" i="2" s="1"/>
  <c r="D176" i="2" a="1"/>
  <c r="D176" i="2" s="1"/>
  <c r="D175" i="2" a="1"/>
  <c r="D175" i="2" s="1"/>
  <c r="D174" i="2" a="1"/>
  <c r="D174" i="2" s="1"/>
  <c r="D173" i="2" a="1"/>
  <c r="D173" i="2" s="1"/>
  <c r="D172" i="2" a="1"/>
  <c r="D172" i="2" s="1"/>
  <c r="D171" i="2" a="1"/>
  <c r="D171" i="2" s="1"/>
  <c r="D170" i="2" a="1"/>
  <c r="D170" i="2" s="1"/>
  <c r="D169" i="2" a="1"/>
  <c r="D169" i="2" s="1"/>
  <c r="D168" i="2" a="1"/>
  <c r="D168" i="2" s="1"/>
  <c r="D167" i="2" a="1"/>
  <c r="D167" i="2" s="1"/>
  <c r="D166" i="2" a="1"/>
  <c r="D166" i="2" s="1"/>
  <c r="D165" i="2" a="1"/>
  <c r="D165" i="2" s="1"/>
  <c r="D164" i="2" a="1"/>
  <c r="D164" i="2" s="1"/>
  <c r="D163" i="2" a="1"/>
  <c r="D163" i="2" s="1"/>
  <c r="D162" i="2" a="1"/>
  <c r="D162" i="2" s="1"/>
  <c r="D161" i="2" a="1"/>
  <c r="D161" i="2" s="1"/>
  <c r="D160" i="2" a="1"/>
  <c r="D160" i="2" s="1"/>
  <c r="D159" i="2" a="1"/>
  <c r="D159" i="2" s="1"/>
  <c r="D158" i="2" a="1"/>
  <c r="D158" i="2" s="1"/>
  <c r="D157" i="2" a="1"/>
  <c r="D157" i="2" s="1"/>
  <c r="D156" i="2" a="1"/>
  <c r="D156" i="2" s="1"/>
  <c r="D155" i="2" a="1"/>
  <c r="D155" i="2" s="1"/>
  <c r="D154" i="2" a="1"/>
  <c r="D154" i="2" s="1"/>
  <c r="D153" i="2" a="1"/>
  <c r="D153" i="2" s="1"/>
  <c r="D152" i="2" a="1"/>
  <c r="D152" i="2" s="1"/>
  <c r="D151" i="2" a="1"/>
  <c r="D151" i="2" s="1"/>
  <c r="D150" i="2" a="1"/>
  <c r="D150" i="2" s="1"/>
  <c r="D149" i="2" a="1"/>
  <c r="D149" i="2" s="1"/>
  <c r="D148" i="2" a="1"/>
  <c r="D148" i="2" s="1"/>
  <c r="D147" i="2" a="1"/>
  <c r="D147" i="2" s="1"/>
  <c r="D146" i="2" a="1"/>
  <c r="D146" i="2" s="1"/>
  <c r="D144" i="2" a="1"/>
  <c r="D144" i="2" s="1"/>
  <c r="D143" i="2" a="1"/>
  <c r="D143" i="2" s="1"/>
  <c r="D142" i="2" a="1"/>
  <c r="D142" i="2" s="1"/>
  <c r="D141" i="2" a="1"/>
  <c r="D141" i="2" s="1"/>
  <c r="D140" i="2" a="1"/>
  <c r="D140" i="2" s="1"/>
  <c r="D139" i="2" a="1"/>
  <c r="D139" i="2" s="1"/>
  <c r="D138" i="2" a="1"/>
  <c r="D138" i="2" s="1"/>
  <c r="D137" i="2" a="1"/>
  <c r="D137" i="2" s="1"/>
  <c r="D136" i="2" a="1"/>
  <c r="D136" i="2" s="1"/>
  <c r="D135" i="2" a="1"/>
  <c r="D135" i="2" s="1"/>
  <c r="D134" i="2" a="1"/>
  <c r="D134" i="2" s="1"/>
  <c r="D133" i="2" a="1"/>
  <c r="D133" i="2" s="1"/>
  <c r="D132" i="2" a="1"/>
  <c r="D132" i="2" s="1"/>
  <c r="D131" i="2" a="1"/>
  <c r="D131" i="2" s="1"/>
  <c r="D130" i="2" a="1"/>
  <c r="D130" i="2" s="1"/>
  <c r="D129" i="2" a="1"/>
  <c r="D129" i="2" s="1"/>
  <c r="D128" i="2" a="1"/>
  <c r="D128" i="2" s="1"/>
  <c r="D127" i="2" a="1"/>
  <c r="D127" i="2" s="1"/>
  <c r="D126" i="2" a="1"/>
  <c r="D126" i="2" s="1"/>
  <c r="D125" i="2" a="1"/>
  <c r="D125" i="2" s="1"/>
  <c r="D124" i="2" a="1"/>
  <c r="D124" i="2" s="1"/>
  <c r="D123" i="2" a="1"/>
  <c r="D123" i="2" s="1"/>
  <c r="D122" i="2" a="1"/>
  <c r="D122" i="2" s="1"/>
  <c r="D121" i="2" a="1"/>
  <c r="D121" i="2" s="1"/>
  <c r="D120" i="2" a="1"/>
  <c r="D120" i="2" s="1"/>
  <c r="D119" i="2" a="1"/>
  <c r="D119" i="2" s="1"/>
  <c r="D118" i="2" a="1"/>
  <c r="D118" i="2" s="1"/>
  <c r="D117" i="2" a="1"/>
  <c r="D117" i="2" s="1"/>
  <c r="D116" i="2" a="1"/>
  <c r="D116" i="2" s="1"/>
  <c r="D115" i="2" a="1"/>
  <c r="D115" i="2" s="1"/>
  <c r="D114" i="2" a="1"/>
  <c r="D114" i="2" s="1"/>
  <c r="D113" i="2" a="1"/>
  <c r="D113" i="2" s="1"/>
  <c r="D112" i="2" a="1"/>
  <c r="D112" i="2" s="1"/>
  <c r="D111" i="2" a="1"/>
  <c r="D111" i="2" s="1"/>
  <c r="D110" i="2" a="1"/>
  <c r="D110" i="2" s="1"/>
  <c r="D109" i="2" a="1"/>
  <c r="D109" i="2" s="1"/>
  <c r="D108" i="2" a="1"/>
  <c r="D108" i="2" s="1"/>
  <c r="D107" i="2" a="1"/>
  <c r="D107" i="2" s="1"/>
  <c r="D106" i="2" a="1"/>
  <c r="D106" i="2" s="1"/>
  <c r="D105" i="2" a="1"/>
  <c r="D105" i="2" s="1"/>
  <c r="D104" i="2" a="1"/>
  <c r="D104" i="2" s="1"/>
  <c r="D103" i="2" a="1"/>
  <c r="D103" i="2" s="1"/>
  <c r="D102" i="2" a="1"/>
  <c r="D102" i="2" s="1"/>
  <c r="D101" i="2" a="1"/>
  <c r="D101" i="2" s="1"/>
  <c r="D100" i="2" a="1"/>
  <c r="D100" i="2" s="1"/>
  <c r="D99" i="2" a="1"/>
  <c r="D99" i="2" s="1"/>
  <c r="D98" i="2" a="1"/>
  <c r="D98" i="2" s="1"/>
  <c r="D97" i="2" a="1"/>
  <c r="D97" i="2" s="1"/>
  <c r="D96" i="2" a="1"/>
  <c r="D96" i="2" s="1"/>
  <c r="D95" i="2" a="1"/>
  <c r="D95" i="2" s="1"/>
  <c r="D94" i="2" a="1"/>
  <c r="D94" i="2" s="1"/>
  <c r="D93" i="2" a="1"/>
  <c r="D93" i="2" s="1"/>
  <c r="D92" i="2" a="1"/>
  <c r="D92" i="2" s="1"/>
  <c r="D91" i="2" a="1"/>
  <c r="D91" i="2" s="1"/>
  <c r="D90" i="2" a="1"/>
  <c r="D90" i="2" s="1"/>
  <c r="D89" i="2" a="1"/>
  <c r="D89" i="2" s="1"/>
  <c r="D88" i="2" a="1"/>
  <c r="D88" i="2" s="1"/>
  <c r="D87" i="2" a="1"/>
  <c r="D87" i="2" s="1"/>
  <c r="D86" i="2" a="1"/>
  <c r="D86" i="2" s="1"/>
  <c r="D85" i="2" a="1"/>
  <c r="D85" i="2" s="1"/>
  <c r="D84" i="2" a="1"/>
  <c r="D84" i="2" s="1"/>
  <c r="D83" i="2" a="1"/>
  <c r="D83" i="2" s="1"/>
  <c r="D82" i="2" a="1"/>
  <c r="D82" i="2" s="1"/>
  <c r="D81" i="2" a="1"/>
  <c r="D81" i="2" s="1"/>
  <c r="D80" i="2" a="1"/>
  <c r="D80" i="2" s="1"/>
  <c r="D79" i="2" a="1"/>
  <c r="D79" i="2" s="1"/>
  <c r="D78" i="2" a="1"/>
  <c r="D78" i="2" s="1"/>
  <c r="D77" i="2" a="1"/>
  <c r="D77" i="2" s="1"/>
  <c r="D76" i="2" a="1"/>
  <c r="D76" i="2" s="1"/>
  <c r="D75" i="2" a="1"/>
  <c r="D75" i="2" s="1"/>
  <c r="D74" i="2" a="1"/>
  <c r="D74" i="2" s="1"/>
  <c r="D73" i="2" a="1"/>
  <c r="D73" i="2" s="1"/>
  <c r="D72" i="2" a="1"/>
  <c r="D72" i="2" s="1"/>
  <c r="D71" i="2" a="1"/>
  <c r="D71" i="2" s="1"/>
  <c r="D70" i="2" a="1"/>
  <c r="D70" i="2" s="1"/>
  <c r="D69" i="2" a="1"/>
  <c r="D69" i="2" s="1"/>
  <c r="D68" i="2" a="1"/>
  <c r="D68" i="2" s="1"/>
  <c r="D67" i="2" a="1"/>
  <c r="D67" i="2" s="1"/>
  <c r="D66" i="2" a="1"/>
  <c r="D66" i="2" s="1"/>
  <c r="D65" i="2" a="1"/>
  <c r="D65" i="2" s="1"/>
  <c r="D64" i="2" a="1"/>
  <c r="D64" i="2" s="1"/>
  <c r="D63" i="2" a="1"/>
  <c r="D63" i="2" s="1"/>
  <c r="D62" i="2" a="1"/>
  <c r="D62" i="2" s="1"/>
  <c r="D61" i="2" a="1"/>
  <c r="D61" i="2" s="1"/>
  <c r="D60" i="2" a="1"/>
  <c r="D60" i="2" s="1"/>
  <c r="D59" i="2" a="1"/>
  <c r="D59" i="2" s="1"/>
  <c r="D58" i="2" a="1"/>
  <c r="D58" i="2" s="1"/>
  <c r="D57" i="2" a="1"/>
  <c r="D57" i="2" s="1"/>
  <c r="D56" i="2" a="1"/>
  <c r="D56" i="2" s="1"/>
  <c r="D55" i="2" a="1"/>
  <c r="D55" i="2" s="1"/>
  <c r="D54" i="2" a="1"/>
  <c r="D54" i="2" s="1"/>
  <c r="D53" i="2" a="1"/>
  <c r="D53" i="2" s="1"/>
  <c r="D52" i="2" a="1"/>
  <c r="D52" i="2" s="1"/>
  <c r="D51" i="2" a="1"/>
  <c r="D51" i="2" s="1"/>
  <c r="D50" i="2" a="1"/>
  <c r="D50" i="2" s="1"/>
  <c r="D49" i="2" a="1"/>
  <c r="D49" i="2" s="1"/>
  <c r="D48" i="2" a="1"/>
  <c r="D48" i="2" s="1"/>
  <c r="D47" i="2" a="1"/>
  <c r="D47" i="2" s="1"/>
  <c r="D46" i="2" a="1"/>
  <c r="D46" i="2" s="1"/>
  <c r="D45" i="2" a="1"/>
  <c r="D45" i="2" s="1"/>
  <c r="D44" i="2" a="1"/>
  <c r="D44" i="2" s="1"/>
  <c r="D43" i="2" a="1"/>
  <c r="D43" i="2" s="1"/>
  <c r="D42" i="2" a="1"/>
  <c r="D42" i="2" s="1"/>
  <c r="D41" i="2" a="1"/>
  <c r="D41" i="2" s="1"/>
  <c r="D40" i="2" a="1"/>
  <c r="D40" i="2" s="1"/>
  <c r="D39" i="2" a="1"/>
  <c r="D39" i="2" s="1"/>
  <c r="D38" i="2" a="1"/>
  <c r="D38" i="2" s="1"/>
  <c r="D37" i="2" a="1"/>
  <c r="D37" i="2" s="1"/>
  <c r="D36" i="2" a="1"/>
  <c r="D36" i="2" s="1"/>
  <c r="D35" i="2" a="1"/>
  <c r="D35" i="2" s="1"/>
  <c r="D34" i="2" a="1"/>
  <c r="D34" i="2" s="1"/>
  <c r="D33" i="2" a="1"/>
  <c r="D33" i="2" s="1"/>
  <c r="D32" i="2" a="1"/>
  <c r="D32" i="2" s="1"/>
  <c r="D31" i="2" a="1"/>
  <c r="D31" i="2" s="1"/>
  <c r="D30" i="2" a="1"/>
  <c r="D30" i="2" s="1"/>
  <c r="D29" i="2" a="1"/>
  <c r="D29" i="2" s="1"/>
  <c r="D28" i="2" a="1"/>
  <c r="D28" i="2" s="1"/>
  <c r="D27" i="2" a="1"/>
  <c r="D27" i="2" s="1"/>
  <c r="D26" i="2" a="1"/>
  <c r="D26" i="2" s="1"/>
  <c r="D25" i="2" a="1"/>
  <c r="D25" i="2" s="1"/>
  <c r="D24" i="2" a="1"/>
  <c r="D24" i="2" s="1"/>
  <c r="D23" i="2" a="1"/>
  <c r="D23" i="2" s="1"/>
  <c r="D22" i="2" a="1"/>
  <c r="D22" i="2" s="1"/>
  <c r="D21" i="2" a="1"/>
  <c r="D21" i="2" s="1"/>
  <c r="D20" i="2" a="1"/>
  <c r="D20" i="2" s="1"/>
  <c r="D19" i="2" a="1"/>
  <c r="D19" i="2" s="1"/>
  <c r="D18" i="2" a="1"/>
  <c r="D18" i="2" s="1"/>
  <c r="D17" i="2" a="1"/>
  <c r="D17" i="2" s="1"/>
  <c r="D16" i="2" a="1"/>
  <c r="D16" i="2" s="1"/>
  <c r="D15" i="2" a="1"/>
  <c r="D15" i="2" s="1"/>
  <c r="D14" i="2" a="1"/>
  <c r="D14" i="2" s="1"/>
  <c r="D13" i="2" a="1"/>
  <c r="D13" i="2" s="1"/>
  <c r="D12" i="2" a="1"/>
  <c r="D12" i="2" s="1"/>
  <c r="D11" i="2" a="1"/>
  <c r="D11" i="2" s="1"/>
  <c r="D10" i="2" a="1"/>
  <c r="D10" i="2" s="1"/>
  <c r="D9" i="2" a="1"/>
  <c r="D9" i="2" s="1"/>
  <c r="D8" i="2" a="1"/>
  <c r="D8" i="2" s="1"/>
  <c r="D7" i="2" a="1"/>
  <c r="D7" i="2" s="1"/>
  <c r="D6" i="2" a="1"/>
  <c r="D6" i="2" s="1"/>
  <c r="D5" i="2" a="1"/>
  <c r="D5" i="2" s="1"/>
  <c r="D4" i="2" a="1"/>
  <c r="D4" i="2" s="1"/>
  <c r="D3" i="2" a="1"/>
  <c r="D3" i="2" s="1"/>
  <c r="D2" i="2" a="1"/>
  <c r="D2" i="2" s="1"/>
  <c r="E33" i="4" a="1"/>
  <c r="E33" i="4" s="1"/>
  <c r="E32" i="4" a="1"/>
  <c r="E32" i="4" s="1"/>
  <c r="E31" i="4" a="1"/>
  <c r="E31" i="4" s="1"/>
  <c r="E30" i="4" a="1"/>
  <c r="E30" i="4" s="1"/>
  <c r="E29" i="4" a="1"/>
  <c r="E29" i="4" s="1"/>
  <c r="E28" i="4" a="1"/>
  <c r="E28" i="4" s="1"/>
  <c r="E27" i="4" a="1"/>
  <c r="E27" i="4" s="1"/>
  <c r="E26" i="4" a="1"/>
  <c r="E26" i="4" s="1"/>
  <c r="E25" i="4" a="1"/>
  <c r="E25" i="4" s="1"/>
  <c r="E24" i="4" a="1"/>
  <c r="E24" i="4" s="1"/>
  <c r="E23" i="4" a="1"/>
  <c r="E23" i="4" s="1"/>
  <c r="E22" i="4" a="1"/>
  <c r="E22" i="4" s="1"/>
  <c r="E21" i="4" a="1"/>
  <c r="E21" i="4" s="1"/>
  <c r="H21" i="4" a="1"/>
  <c r="H21" i="4" s="1"/>
  <c r="E20" i="4" a="1"/>
  <c r="E20" i="4" s="1"/>
  <c r="E19" i="4" a="1"/>
  <c r="E19" i="4" s="1"/>
  <c r="E18" i="4" a="1"/>
  <c r="E18" i="4" s="1"/>
  <c r="E17" i="4" a="1"/>
  <c r="E17" i="4" s="1"/>
  <c r="E16" i="4" a="1"/>
  <c r="E16" i="4" s="1"/>
  <c r="E15" i="4" a="1"/>
  <c r="E15" i="4" s="1"/>
  <c r="E14" i="4" a="1"/>
  <c r="E14" i="4" s="1"/>
  <c r="E13" i="4" a="1"/>
  <c r="E13" i="4" s="1"/>
  <c r="E12" i="4" a="1"/>
  <c r="E12" i="4" s="1"/>
  <c r="E11" i="4" a="1"/>
  <c r="E11" i="4" s="1"/>
  <c r="E10" i="4" a="1"/>
  <c r="E10" i="4" s="1"/>
  <c r="D6" i="1"/>
  <c r="E9" i="4" a="1"/>
  <c r="E9" i="4" s="1"/>
  <c r="E8" i="4" a="1"/>
  <c r="E8" i="4" s="1"/>
  <c r="E7" i="4" a="1"/>
  <c r="E7" i="4" s="1"/>
  <c r="E6" i="4" a="1"/>
  <c r="E6" i="4" s="1"/>
  <c r="E5" i="4" a="1"/>
  <c r="E5" i="4" s="1"/>
  <c r="H3" i="4" a="1"/>
  <c r="H3" i="4" s="1"/>
  <c r="E2" i="4" a="1"/>
  <c r="E2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<sst xmlns="http://schemas.openxmlformats.org/spreadsheetml/2006/main" count="1060" uniqueCount="399">
  <si>
    <t>Invoice#</t>
  </si>
  <si>
    <t>Date</t>
  </si>
  <si>
    <t>Company</t>
  </si>
  <si>
    <t>Part Number</t>
  </si>
  <si>
    <t>Make/Model</t>
  </si>
  <si>
    <t>Truck Number</t>
  </si>
  <si>
    <t>Description</t>
  </si>
  <si>
    <t>Amount</t>
  </si>
  <si>
    <t>Payment Type</t>
  </si>
  <si>
    <t>Payment Status</t>
  </si>
  <si>
    <t>Other Additional Info</t>
  </si>
  <si>
    <t>GCT Express</t>
  </si>
  <si>
    <t>DW1308</t>
  </si>
  <si>
    <t xml:space="preserve">NEW WINDSHIELD REPLACEMENT </t>
  </si>
  <si>
    <t>Zelle</t>
  </si>
  <si>
    <t>PAID</t>
  </si>
  <si>
    <t>Truck Spect</t>
  </si>
  <si>
    <t>DW1278</t>
  </si>
  <si>
    <t xml:space="preserve">Western Star Constellation Series </t>
  </si>
  <si>
    <t xml:space="preserve">PENDING </t>
  </si>
  <si>
    <t>JDS</t>
  </si>
  <si>
    <t>DW1279</t>
  </si>
  <si>
    <t>EASTERN  STAR LOGISTICS INC</t>
  </si>
  <si>
    <t>DW2419</t>
  </si>
  <si>
    <t>DIGNITY LOGISTICS</t>
  </si>
  <si>
    <t>NEW WINDSHIELD REPLACEMENT</t>
  </si>
  <si>
    <t>ZELLE</t>
  </si>
  <si>
    <t>UE LINE</t>
  </si>
  <si>
    <t>DD12188</t>
  </si>
  <si>
    <t>ACH</t>
  </si>
  <si>
    <t>Action truck</t>
  </si>
  <si>
    <t>AD FREIGHT</t>
  </si>
  <si>
    <t>DW2649</t>
  </si>
  <si>
    <t>NEW WINSHIELD REPLACEMENT</t>
  </si>
  <si>
    <t>PENDING</t>
  </si>
  <si>
    <t>GOV-FORWARD INC</t>
  </si>
  <si>
    <t>DW2409</t>
  </si>
  <si>
    <t>DNC TRANSPORTAION INC</t>
  </si>
  <si>
    <t>BEK TRANS GROUP</t>
  </si>
  <si>
    <t xml:space="preserve">NEW WINDSHIELD REPLACMENT </t>
  </si>
  <si>
    <t>NICOLAEVA INC</t>
  </si>
  <si>
    <t>DW1303</t>
  </si>
  <si>
    <t>CHUY'S#1</t>
  </si>
  <si>
    <t>CARD</t>
  </si>
  <si>
    <t xml:space="preserve">CARGO NETWORK SOLUTIONS </t>
  </si>
  <si>
    <t>DW1731</t>
  </si>
  <si>
    <t>EFS</t>
  </si>
  <si>
    <t>AFS WORLD LLC</t>
  </si>
  <si>
    <t>ComCHECK</t>
  </si>
  <si>
    <t>Nationwide</t>
  </si>
  <si>
    <t xml:space="preserve">Check </t>
  </si>
  <si>
    <t xml:space="preserve">check </t>
  </si>
  <si>
    <t>CHRISMEGS</t>
  </si>
  <si>
    <t>YANKEE</t>
  </si>
  <si>
    <t xml:space="preserve">UE LINE </t>
  </si>
  <si>
    <t>IG TRANSPORTATION INC</t>
  </si>
  <si>
    <t>PROSPORT</t>
  </si>
  <si>
    <t>CHECK</t>
  </si>
  <si>
    <t>CARPATHIAN WAY</t>
  </si>
  <si>
    <t xml:space="preserve">Ginaz Shayliev </t>
  </si>
  <si>
    <t xml:space="preserve">HODGES  </t>
  </si>
  <si>
    <t>FW2924</t>
  </si>
  <si>
    <t xml:space="preserve">CHECK </t>
  </si>
  <si>
    <t xml:space="preserve">WINDY CITY </t>
  </si>
  <si>
    <t>R+R</t>
  </si>
  <si>
    <t xml:space="preserve">REMOVED LEFT &amp; RIGHT SIDE &amp; RE-INSTALLED BOTH SIDES </t>
  </si>
  <si>
    <t>OPPER EXPRESS</t>
  </si>
  <si>
    <t>TORESHIPRE</t>
  </si>
  <si>
    <t>VINITA</t>
  </si>
  <si>
    <t>MR8182</t>
  </si>
  <si>
    <t xml:space="preserve">FAN </t>
  </si>
  <si>
    <t>BUKHARA USA CO</t>
  </si>
  <si>
    <t>K FORCE</t>
  </si>
  <si>
    <t>QP</t>
  </si>
  <si>
    <t>PAPA RUE TRANSPORT LLC</t>
  </si>
  <si>
    <t xml:space="preserve">THK TRUCKING </t>
  </si>
  <si>
    <t>DW1308GND</t>
  </si>
  <si>
    <t xml:space="preserve">TGS CARRIERS </t>
  </si>
  <si>
    <t>GR GROUP EXPRESS LLC</t>
  </si>
  <si>
    <t>TOPHR INCORPORATED</t>
  </si>
  <si>
    <t>MYKTYBEK</t>
  </si>
  <si>
    <t>Removed &amp; installed Used Upper Sleeper Vent glass that was Removed From truck#1</t>
  </si>
  <si>
    <t xml:space="preserve">Removed from Truck #1 </t>
  </si>
  <si>
    <t>AMEX LOGISTICS</t>
  </si>
  <si>
    <t>GLOBEKS CORP</t>
  </si>
  <si>
    <t>DW2153</t>
  </si>
  <si>
    <t>N/a</t>
  </si>
  <si>
    <t>LEADER ONE INC</t>
  </si>
  <si>
    <t>DW2038</t>
  </si>
  <si>
    <t>GTC</t>
  </si>
  <si>
    <t>YANKEE FREIGHT SYSTEMS LLC</t>
  </si>
  <si>
    <t>CC</t>
  </si>
  <si>
    <t>N/A</t>
  </si>
  <si>
    <t>FIVE STAR GARAGE</t>
  </si>
  <si>
    <t>NHM</t>
  </si>
  <si>
    <t>Felipe Semi-Truck &amp; Auto-Glass Inc.</t>
  </si>
  <si>
    <t>Empty Rows</t>
  </si>
  <si>
    <t>Address:</t>
  </si>
  <si>
    <t>566 Rock Rd East Dundee IL 60118</t>
  </si>
  <si>
    <t>Email:</t>
  </si>
  <si>
    <t>Aglass@felipesemitruckautoglassinc.com</t>
  </si>
  <si>
    <t>Phone:</t>
  </si>
  <si>
    <t>847-331-5479</t>
  </si>
  <si>
    <t>Accountant Phone:</t>
  </si>
  <si>
    <t>847-910-4831</t>
  </si>
  <si>
    <r>
      <t xml:space="preserve">Website: </t>
    </r>
    <r>
      <rPr>
        <b/>
        <u/>
        <sz val="12"/>
        <rFont val="Aptos Narrow"/>
        <family val="2"/>
        <scheme val="minor"/>
      </rPr>
      <t>felipesemitruckautoglassinc.com</t>
    </r>
  </si>
  <si>
    <t>Part #</t>
  </si>
  <si>
    <t xml:space="preserve">Make/Model </t>
  </si>
  <si>
    <t>volvo VN series 97-14</t>
  </si>
  <si>
    <t>Truck#108</t>
  </si>
  <si>
    <t>TOTAL</t>
  </si>
  <si>
    <t>COMPANY</t>
  </si>
  <si>
    <t>PART NUMBER</t>
  </si>
  <si>
    <t>PRICE</t>
  </si>
  <si>
    <t>DESCRIPTION OF PART</t>
  </si>
  <si>
    <t>ANY OTHER DETAILS</t>
  </si>
  <si>
    <t>EMAIL</t>
  </si>
  <si>
    <t>AAA TRANSGROUP</t>
  </si>
  <si>
    <t>ACTION TRUCK</t>
  </si>
  <si>
    <t xml:space="preserve">ACTION TRUCK </t>
  </si>
  <si>
    <t>DW1732</t>
  </si>
  <si>
    <t>DW1685</t>
  </si>
  <si>
    <t xml:space="preserve">AD FREIGHT </t>
  </si>
  <si>
    <t>ANDRUKH  LOGISTICS</t>
  </si>
  <si>
    <t>DW1302</t>
  </si>
  <si>
    <t>RE SEAL</t>
  </si>
  <si>
    <t xml:space="preserve">ATL HOLDING </t>
  </si>
  <si>
    <t>DW2029</t>
  </si>
  <si>
    <t>ATLAS</t>
  </si>
  <si>
    <t xml:space="preserve">AVA TRANS </t>
  </si>
  <si>
    <t>BH TRANS</t>
  </si>
  <si>
    <t xml:space="preserve">BILLIM </t>
  </si>
  <si>
    <t>BORCHA</t>
  </si>
  <si>
    <t>BPA HOTSHOT</t>
  </si>
  <si>
    <t>12648</t>
  </si>
  <si>
    <t>BUCCI</t>
  </si>
  <si>
    <t>C&amp;C</t>
  </si>
  <si>
    <t>DW1494</t>
  </si>
  <si>
    <t>DW1308 I ONLY</t>
  </si>
  <si>
    <t>R/R</t>
  </si>
  <si>
    <t>CHERMAK CARTAGE</t>
  </si>
  <si>
    <t>COMPASS TRUCK</t>
  </si>
  <si>
    <t>CONDOR</t>
  </si>
  <si>
    <t>CONTINENTAL</t>
  </si>
  <si>
    <t xml:space="preserve">CROWN POINT </t>
  </si>
  <si>
    <t>DW1440</t>
  </si>
  <si>
    <t>CUSMIR</t>
  </si>
  <si>
    <t xml:space="preserve">DELTA </t>
  </si>
  <si>
    <t>DYNAMIC</t>
  </si>
  <si>
    <t>DW1882</t>
  </si>
  <si>
    <t xml:space="preserve">EVEREST </t>
  </si>
  <si>
    <t>FIVE STAR</t>
  </si>
  <si>
    <t>GCT EXPRESS</t>
  </si>
  <si>
    <t>GI NATIONAL</t>
  </si>
  <si>
    <t>GI NATIONAL CORP</t>
  </si>
  <si>
    <t>GLORIM LLC</t>
  </si>
  <si>
    <t>GOLDEN SERVICE</t>
  </si>
  <si>
    <t>GOLWING</t>
  </si>
  <si>
    <t>S/V/G</t>
  </si>
  <si>
    <t>2247</t>
  </si>
  <si>
    <t>HIGHKICK</t>
  </si>
  <si>
    <t>HIGHKICK LOGISTICS</t>
  </si>
  <si>
    <t xml:space="preserve">HODGES </t>
  </si>
  <si>
    <t>1081</t>
  </si>
  <si>
    <t>1580</t>
  </si>
  <si>
    <t>1254</t>
  </si>
  <si>
    <t xml:space="preserve">(D)SIDE REAR CORNER CAB GLASS INTSALLATION ONLY </t>
  </si>
  <si>
    <t>2542</t>
  </si>
  <si>
    <t>1383</t>
  </si>
  <si>
    <t>2541</t>
  </si>
  <si>
    <t>IG TRANSPORTANTION</t>
  </si>
  <si>
    <t>JA FRATE</t>
  </si>
  <si>
    <t>KAMA</t>
  </si>
  <si>
    <t>DW1842</t>
  </si>
  <si>
    <t>KIK</t>
  </si>
  <si>
    <t>LEON TRANS</t>
  </si>
  <si>
    <t>MAXIMUM</t>
  </si>
  <si>
    <t>9356</t>
  </si>
  <si>
    <t xml:space="preserve">MAXIMUM </t>
  </si>
  <si>
    <t xml:space="preserve">DW2419 </t>
  </si>
  <si>
    <t xml:space="preserve">MDS </t>
  </si>
  <si>
    <t>MOTUS</t>
  </si>
  <si>
    <t>2007</t>
  </si>
  <si>
    <t>NATIONAL</t>
  </si>
  <si>
    <t xml:space="preserve">NATIONWIDE </t>
  </si>
  <si>
    <t>NESH TRANS</t>
  </si>
  <si>
    <t>NOVA FREIGHT</t>
  </si>
  <si>
    <t>11561</t>
  </si>
  <si>
    <t>1732</t>
  </si>
  <si>
    <t>NOVA LOGISTICS</t>
  </si>
  <si>
    <t xml:space="preserve">OMEGA FREIGHT </t>
  </si>
  <si>
    <t>OPER EXPRESS</t>
  </si>
  <si>
    <t>PARMA INC</t>
  </si>
  <si>
    <t xml:space="preserve">PHOENIX CARTAGE </t>
  </si>
  <si>
    <t>PITSTOP</t>
  </si>
  <si>
    <t>PROSPORT EXPRESS</t>
  </si>
  <si>
    <t xml:space="preserve">PURE FREIGHT </t>
  </si>
  <si>
    <t>11561-D</t>
  </si>
  <si>
    <t xml:space="preserve">QUALITY WHEELS </t>
  </si>
  <si>
    <t xml:space="preserve">REAL TRUCKING </t>
  </si>
  <si>
    <t>1451</t>
  </si>
  <si>
    <t>RED POINT</t>
  </si>
  <si>
    <t>RF GROUP</t>
  </si>
  <si>
    <t>ROTRANS</t>
  </si>
  <si>
    <t>ROYAL LINE</t>
  </si>
  <si>
    <t>SA TRUCKING</t>
  </si>
  <si>
    <t xml:space="preserve">SD GRAND MOTORS </t>
  </si>
  <si>
    <t>DB12650</t>
  </si>
  <si>
    <t>DB12648</t>
  </si>
  <si>
    <t>13927</t>
  </si>
  <si>
    <t>12760</t>
  </si>
  <si>
    <t>5213</t>
  </si>
  <si>
    <t xml:space="preserve">2609 </t>
  </si>
  <si>
    <t xml:space="preserve">2007 </t>
  </si>
  <si>
    <t>STEEL CITY TIRE</t>
  </si>
  <si>
    <t>STEP ONE</t>
  </si>
  <si>
    <t>TA CONSTRUCTION</t>
  </si>
  <si>
    <t>TAK</t>
  </si>
  <si>
    <t>TGS CARRIERS</t>
  </si>
  <si>
    <t>DW2929</t>
  </si>
  <si>
    <t>2692</t>
  </si>
  <si>
    <t>TRANFORMERS LLC</t>
  </si>
  <si>
    <t>TRUCK SPECT</t>
  </si>
  <si>
    <t xml:space="preserve"> WESTERN STAR CONSETELLATION SERIES </t>
  </si>
  <si>
    <t xml:space="preserve">TRUCK SPECT </t>
  </si>
  <si>
    <t>USA TRANSPORT</t>
  </si>
  <si>
    <t>VDT</t>
  </si>
  <si>
    <t>VOLCANO</t>
  </si>
  <si>
    <t>VOLCONO</t>
  </si>
  <si>
    <t>W EXPRESS</t>
  </si>
  <si>
    <t>WELCH BROTHERS</t>
  </si>
  <si>
    <t>WINDY CITY</t>
  </si>
  <si>
    <t>SUPPLIED</t>
  </si>
  <si>
    <t>WITT EXPRESS</t>
  </si>
  <si>
    <t>DB25493</t>
  </si>
  <si>
    <t>YMD LANES</t>
  </si>
  <si>
    <t xml:space="preserve">YMD LANES </t>
  </si>
  <si>
    <t>EASTERN STAR LOGISTICS INC</t>
  </si>
  <si>
    <t>DNC TRASNPORTATION INC</t>
  </si>
  <si>
    <t xml:space="preserve">BEK TRANS GROUP </t>
  </si>
  <si>
    <t xml:space="preserve">K FORCE </t>
  </si>
  <si>
    <t>GLOBEKS</t>
  </si>
  <si>
    <t>Model Name</t>
  </si>
  <si>
    <t>Price</t>
  </si>
  <si>
    <t>Description of Part</t>
  </si>
  <si>
    <t>Amount In Inventory</t>
  </si>
  <si>
    <t>Volvo VNL</t>
  </si>
  <si>
    <t>Volvo VNL American Brand (Gardian)</t>
  </si>
  <si>
    <t>volvo heated VHD 10-17</t>
  </si>
  <si>
    <t>Volvo VNL w/Defroster</t>
  </si>
  <si>
    <t xml:space="preserve">volvo with lane departue VN series conv. Cab 17-22 </t>
  </si>
  <si>
    <t>DW2433</t>
  </si>
  <si>
    <t>Volvo VNSeries</t>
  </si>
  <si>
    <t>volvo heated rain sensor  VN series 18-22</t>
  </si>
  <si>
    <t>DW2693</t>
  </si>
  <si>
    <t>volvo passenger VHD 97-17</t>
  </si>
  <si>
    <t>DD9354</t>
  </si>
  <si>
    <t>volvo driver</t>
  </si>
  <si>
    <t>DD9355</t>
  </si>
  <si>
    <t xml:space="preserve">volvo VN series conv. Cab-back  </t>
  </si>
  <si>
    <t>DB9356</t>
  </si>
  <si>
    <t>volvo visor tint VN series 97-14</t>
  </si>
  <si>
    <t>volvo rain sensor and heat VN series conv. Cab 18-22</t>
  </si>
  <si>
    <t>volvo upper sleep vent R</t>
  </si>
  <si>
    <t>VO78551836</t>
  </si>
  <si>
    <t>volvo VNL L</t>
  </si>
  <si>
    <t>VO23643494</t>
  </si>
  <si>
    <t xml:space="preserve">volvo rain sensor </t>
  </si>
  <si>
    <t>DW2573</t>
  </si>
  <si>
    <t xml:space="preserve">FREIGHTLINER CASCADIA conv. Cab 17-22  </t>
  </si>
  <si>
    <t>FREIGHTLINER CASCADIA (LDWS &amp; RAIN SENEOR)</t>
  </si>
  <si>
    <t>FREIGHTLINER CASCADIA LDWS conv. Cab 17-22</t>
  </si>
  <si>
    <t>LDWS &amp; RNSNSOR</t>
  </si>
  <si>
    <t>FREIGHTLINER CASCADIA half conv. Cab 08-19 R</t>
  </si>
  <si>
    <t>FREIGHTLINER CASCADIA half conv. Cab 08-20 L</t>
  </si>
  <si>
    <t>FREIGHTLINER CASCADIA w/ rail conv. Cab 08-18 R</t>
  </si>
  <si>
    <t>DD11560</t>
  </si>
  <si>
    <t xml:space="preserve">FREIGHTLINER CASCADIA conv. Cab 08-18 L </t>
  </si>
  <si>
    <t>DD11561</t>
  </si>
  <si>
    <t>FREIGHTLINER CASCADIA conv. Cab  2022 R</t>
  </si>
  <si>
    <t>DD12991</t>
  </si>
  <si>
    <t>FREIGHTLINER CASCADIA conv. Cab 18 L</t>
  </si>
  <si>
    <t>DD12992</t>
  </si>
  <si>
    <t>FREIGHTLINER CASCADIA conv. Cab 08-20 L</t>
  </si>
  <si>
    <t>DV11618</t>
  </si>
  <si>
    <t>FREIGHTLINER CASCADIA conv. Cab 08-19 R-L</t>
  </si>
  <si>
    <t>DB11562</t>
  </si>
  <si>
    <t>FREIGHTLINER conv. Cab 89-10 W/S-R/L</t>
  </si>
  <si>
    <t>DL4746</t>
  </si>
  <si>
    <t>FREIGHTLINER C112/C120 conv. Cab 96-22</t>
  </si>
  <si>
    <t>DB9285</t>
  </si>
  <si>
    <t>FREIGHTLINER Century Class C112/120.122SD conv. Cab 96-18 R</t>
  </si>
  <si>
    <t>FREIGHTLINER M2 Business Class conv. Cab/ext. conv. Cab 03-16 R</t>
  </si>
  <si>
    <t>DV10233</t>
  </si>
  <si>
    <t>FREIGHTLINER M2 Business Class 4D conv. Cab+ext cab 03</t>
  </si>
  <si>
    <t>FREIGHTLINER corornado Century class conv. cab 96-18 L</t>
  </si>
  <si>
    <t xml:space="preserve">kenworth t680 12-21/t880 conv. Cab </t>
  </si>
  <si>
    <t>Kenworth t660 12-18/t880 conv. Cab R</t>
  </si>
  <si>
    <t>DD12190</t>
  </si>
  <si>
    <t>Kenworth t660 12-18/t880 conv. Cab L</t>
  </si>
  <si>
    <t>DD12191</t>
  </si>
  <si>
    <t>Kenworth conv. Cab all but T2000 06-18 L</t>
  </si>
  <si>
    <t>DW1657</t>
  </si>
  <si>
    <t>Kenworth T600A conv. Cab Mid 91-05</t>
  </si>
  <si>
    <t>DW1139</t>
  </si>
  <si>
    <t>Kenworth 06-18 conv. Cab R</t>
  </si>
  <si>
    <t>DW1656</t>
  </si>
  <si>
    <t>Ford F series-2D super cab -17</t>
  </si>
  <si>
    <t>Ford f150 4D crew cab -21 R</t>
  </si>
  <si>
    <t>DD13274</t>
  </si>
  <si>
    <t>Ford F series-2D 15-20 L</t>
  </si>
  <si>
    <t>DD12394</t>
  </si>
  <si>
    <t>Ford heated F-series-2D super cab and crew cab B 17</t>
  </si>
  <si>
    <t>DB12649</t>
  </si>
  <si>
    <t>Ford econoline 3D van 03-05</t>
  </si>
  <si>
    <t>DW1504</t>
  </si>
  <si>
    <t>Peter built 3-series 89-18 R</t>
  </si>
  <si>
    <t>DW1036</t>
  </si>
  <si>
    <t>Ford 250-550 F-series-2D 19-22</t>
  </si>
  <si>
    <t>DW2551</t>
  </si>
  <si>
    <t xml:space="preserve">Ford F-350 LDWS Rain sensor </t>
  </si>
  <si>
    <t>Ford 250-550-2D and 2D/4D super cab  15-22</t>
  </si>
  <si>
    <t>RAM 11-23 4D crew/ext cabs/09-12 Dodge RAM p up 1500 L</t>
  </si>
  <si>
    <t>DD11592</t>
  </si>
  <si>
    <t>RAM 11-23 4D crew/ext cabs/09-12 Dodge RAM p up 1500 R</t>
  </si>
  <si>
    <t>DD11591</t>
  </si>
  <si>
    <t>RAM 1500 p up 4D crew,quad cabs 11-23</t>
  </si>
  <si>
    <t>DB11597</t>
  </si>
  <si>
    <t>RAM 2D 13-17</t>
  </si>
  <si>
    <t>DW2007</t>
  </si>
  <si>
    <t>RAM p ups 19</t>
  </si>
  <si>
    <t>DW2611</t>
  </si>
  <si>
    <t>RAM p ups 3500 19</t>
  </si>
  <si>
    <t>DW2609</t>
  </si>
  <si>
    <t>Chevy Silverado 14-19/GMC Sierra 4D crew cab L</t>
  </si>
  <si>
    <t>DD12193</t>
  </si>
  <si>
    <t>Chevy Silverado 19-23/GMC Sierra</t>
  </si>
  <si>
    <t>DB13108</t>
  </si>
  <si>
    <t>Chevy 14-19/GMC Silverado Sierra 2D std cab L</t>
  </si>
  <si>
    <t>DB12272</t>
  </si>
  <si>
    <t xml:space="preserve">Chevy Silverado 19/Silverado 19-22 1500-2D+4D/GMC Sierra-2D+4D cabs </t>
  </si>
  <si>
    <t>DW2497</t>
  </si>
  <si>
    <t>Chevy Silverado 14-18/GMC Sierra 2D std+4D ext+ crew cab/14-19 LD ext</t>
  </si>
  <si>
    <t>DW2040</t>
  </si>
  <si>
    <t>Jeep Heated gladiator/ Crew cab 4D/Jeep wrangler 18-23 2D</t>
  </si>
  <si>
    <t>DW2416</t>
  </si>
  <si>
    <t>Jeep Gladiator '20/ Crew cab 4D/Jeep wrangler 18-23 2D</t>
  </si>
  <si>
    <t>DW2417</t>
  </si>
  <si>
    <t xml:space="preserve">Hummer H2-4D Utility 03-10 </t>
  </si>
  <si>
    <t>DW1486</t>
  </si>
  <si>
    <t>Prostar int. 01-18 L</t>
  </si>
  <si>
    <t>DD10037</t>
  </si>
  <si>
    <t>Prostar int. 01-20 R</t>
  </si>
  <si>
    <t>DD10036</t>
  </si>
  <si>
    <t>LT int. R</t>
  </si>
  <si>
    <t>DD13140</t>
  </si>
  <si>
    <t>LT int. L</t>
  </si>
  <si>
    <t>DD13141</t>
  </si>
  <si>
    <t>Western star conv. Cab glue in 01-16 R</t>
  </si>
  <si>
    <t>Western star conv. Cab glue in 96-16 L</t>
  </si>
  <si>
    <t>DW1441</t>
  </si>
  <si>
    <t>Western star conv. Cab 97-00 L</t>
  </si>
  <si>
    <t>Westrern star conv. Cab 97-00 R</t>
  </si>
  <si>
    <t>Peter built 357 2D conv. Cab 1992</t>
  </si>
  <si>
    <t>DD11614</t>
  </si>
  <si>
    <t>Peterbuilt 3 series 89-18 L</t>
  </si>
  <si>
    <t>DW1037</t>
  </si>
  <si>
    <t>Peterbuilt 3 series 89-18 R</t>
  </si>
  <si>
    <t>Mack conv. Cab CH600 89-18 R</t>
  </si>
  <si>
    <t>DW1080</t>
  </si>
  <si>
    <t>Mack conv. Cab CH600 89-18 L</t>
  </si>
  <si>
    <t>DW1081</t>
  </si>
  <si>
    <t>Hino 05-18</t>
  </si>
  <si>
    <t>FW2521</t>
  </si>
  <si>
    <t>Internaltional LT</t>
  </si>
  <si>
    <t>Ford F-350 Back Glass Power Slide</t>
  </si>
  <si>
    <t>Ford F-350 Back Glass</t>
  </si>
  <si>
    <t>Door Glass Peterbilt 579 P/S</t>
  </si>
  <si>
    <t>ISUZO NPR</t>
  </si>
  <si>
    <t>REMOVED &amp; RE- INSTALLED</t>
  </si>
  <si>
    <t xml:space="preserve">RESTORED UPPER SEAL WITH URATHANE CAULKING </t>
  </si>
  <si>
    <t>CHEVY SILVERADO</t>
  </si>
  <si>
    <t>Company Names</t>
  </si>
  <si>
    <t>WorkBook Descriptions</t>
  </si>
  <si>
    <t xml:space="preserve">GCT Express </t>
  </si>
  <si>
    <t>MLC</t>
  </si>
  <si>
    <t>DELTA</t>
  </si>
  <si>
    <t>CARACAS</t>
  </si>
  <si>
    <t>Payment Types</t>
  </si>
  <si>
    <t>Card</t>
  </si>
  <si>
    <t>Chech</t>
  </si>
  <si>
    <t>Efs</t>
  </si>
  <si>
    <t xml:space="preserve">WEEKLY BILLING COMPANYS </t>
  </si>
  <si>
    <t xml:space="preserve">IG </t>
  </si>
  <si>
    <t>DW1303 #3091</t>
  </si>
  <si>
    <t>DW2649 #4327</t>
  </si>
  <si>
    <t>DW2649 #4142</t>
  </si>
  <si>
    <t xml:space="preserve">DW2649 #4108 </t>
  </si>
  <si>
    <t xml:space="preserve">PROSPORT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</si>
</sst>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[&lt;=9999999]###\-####;\(###\)\ ###\-####"/>
    <numFmt numFmtId="165" formatCode="&quot;INVOICE:#&quot;0"/>
    <numFmt numFmtId="166" formatCode="&quot;Invoice#&quot;#"/>
    <numFmt numFmtId="167" formatCode="[$-409]dddd\,\ mm/dd/yy"/>
    <numFmt numFmtId="168" formatCode="[$-F800]dddd\,\ mmmm\ dd\,\ yyyy"/>
    <numFmt numFmtId="169" formatCode="&quot;BILL TO:&quot;\ @"/>
    <numFmt numFmtId="170" formatCode="m/yy"/>
  </numFmts>
  <fonts count="1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5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8"/>
      <color theme="1" tint="0.14999847407452621"/>
      <name val="Aptos Narrow"/>
      <family val="2"/>
      <scheme val="minor"/>
    </font>
    <font>
      <sz val="11"/>
      <color theme="1" tint="0.1499984740745262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2"/>
      <name val="Aptos Narrow"/>
      <family val="2"/>
      <scheme val="minor"/>
    </font>
    <font>
      <b/>
      <u/>
      <sz val="12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  <font>
      <sz val="15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44" fontId="9" fillId="0" borderId="0" applyFont="0" applyFill="0" applyBorder="0" applyAlignment="0" applyProtection="0"/>
  </cellStyleXfs>
  <cellXfs count="63">
    <xf numFmtId="0" fontId="0" fillId="0" borderId="0" xfId="0"/>
    <xf numFmtId="49" fontId="0" fillId="0" borderId="0" xfId="0" applyNumberFormat="1"/>
    <xf numFmtId="49" fontId="1" fillId="0" borderId="0" xfId="0" applyNumberFormat="1" applyFont="1"/>
    <xf numFmtId="49" fontId="1" fillId="0" borderId="0" xfId="0" applyNumberFormat="1" applyFont="1" applyAlignment="1">
      <alignment horizontal="left"/>
    </xf>
    <xf numFmtId="44" fontId="0" fillId="0" borderId="0" xfId="0" applyNumberFormat="1"/>
    <xf numFmtId="2" fontId="0" fillId="0" borderId="0" xfId="0" applyNumberFormat="1"/>
    <xf numFmtId="1" fontId="0" fillId="0" borderId="0" xfId="0" applyNumberFormat="1"/>
    <xf numFmtId="165" fontId="2" fillId="2" borderId="0" xfId="0" applyNumberFormat="1" applyFont="1" applyFill="1" applyAlignment="1">
      <alignment horizontal="right" vertical="center"/>
    </xf>
    <xf numFmtId="49" fontId="0" fillId="0" borderId="0" xfId="0" applyNumberFormat="1" applyAlignment="1">
      <alignment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vertical="center"/>
    </xf>
    <xf numFmtId="0" fontId="6" fillId="0" borderId="0" xfId="1" applyAlignment="1">
      <alignment vertical="center"/>
    </xf>
    <xf numFmtId="44" fontId="0" fillId="0" borderId="0" xfId="0" applyNumberFormat="1" applyAlignment="1">
      <alignment vertical="center"/>
    </xf>
    <xf numFmtId="166" fontId="0" fillId="0" borderId="0" xfId="0" applyNumberFormat="1" applyAlignment="1">
      <alignment horizontal="left" vertical="center" wrapText="1"/>
    </xf>
    <xf numFmtId="167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3" borderId="1" xfId="0" applyFont="1" applyFill="1" applyBorder="1" applyAlignment="1">
      <alignment vertical="center" wrapText="1"/>
    </xf>
    <xf numFmtId="7" fontId="2" fillId="4" borderId="4" xfId="0" applyNumberFormat="1" applyFont="1" applyFill="1" applyBorder="1" applyAlignment="1">
      <alignment horizontal="left" vertical="center"/>
    </xf>
    <xf numFmtId="12" fontId="0" fillId="0" borderId="0" xfId="0" applyNumberFormat="1"/>
    <xf numFmtId="12" fontId="0" fillId="0" borderId="0" xfId="0" applyNumberFormat="1" applyAlignment="1">
      <alignment horizontal="left"/>
    </xf>
    <xf numFmtId="167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 wrapText="1"/>
    </xf>
    <xf numFmtId="49" fontId="0" fillId="0" borderId="0" xfId="0" applyNumberFormat="1" applyAlignment="1">
      <alignment horizontal="left" wrapText="1"/>
    </xf>
    <xf numFmtId="4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44" fontId="9" fillId="0" borderId="0" xfId="2" applyFont="1" applyAlignment="1">
      <alignment vertical="center"/>
    </xf>
    <xf numFmtId="44" fontId="0" fillId="0" borderId="0" xfId="2" applyFont="1" applyAlignment="1">
      <alignment vertical="center"/>
    </xf>
    <xf numFmtId="44" fontId="11" fillId="0" borderId="0" xfId="2" applyFont="1" applyAlignment="1">
      <alignment vertical="center"/>
    </xf>
    <xf numFmtId="0" fontId="11" fillId="0" borderId="0" xfId="0" applyFont="1"/>
    <xf numFmtId="8" fontId="0" fillId="0" borderId="0" xfId="0" applyNumberFormat="1"/>
    <xf numFmtId="0" fontId="1" fillId="0" borderId="0" xfId="0" applyFont="1"/>
    <xf numFmtId="0" fontId="6" fillId="0" borderId="0" xfId="1"/>
    <xf numFmtId="0" fontId="10" fillId="0" borderId="0" xfId="0" applyFont="1"/>
    <xf numFmtId="14" fontId="0" fillId="0" borderId="0" xfId="0" applyNumberFormat="1"/>
    <xf numFmtId="0" fontId="1" fillId="0" borderId="1" xfId="0" applyFont="1" applyBorder="1" applyAlignment="1">
      <alignment horizontal="center" vertical="center"/>
    </xf>
    <xf numFmtId="12" fontId="3" fillId="0" borderId="1" xfId="0" applyNumberFormat="1" applyFont="1" applyBorder="1" applyAlignment="1">
      <alignment horizontal="center" vertical="center"/>
    </xf>
    <xf numFmtId="7" fontId="2" fillId="4" borderId="1" xfId="0" applyNumberFormat="1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 wrapText="1"/>
    </xf>
    <xf numFmtId="169" fontId="3" fillId="0" borderId="0" xfId="0" applyNumberFormat="1" applyFont="1" applyAlignment="1">
      <alignment horizontal="right" wrapText="1"/>
    </xf>
    <xf numFmtId="0" fontId="13" fillId="0" borderId="0" xfId="0" applyFont="1" applyAlignment="1">
      <alignment wrapText="1"/>
    </xf>
    <xf numFmtId="0" fontId="2" fillId="0" borderId="0" xfId="0" applyFont="1"/>
    <xf numFmtId="0" fontId="13" fillId="0" borderId="0" xfId="0" applyFont="1"/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/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vertical="center" wrapText="1"/>
    </xf>
    <xf numFmtId="0" fontId="7" fillId="0" borderId="0" xfId="1" applyFont="1" applyAlignment="1"/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168" fontId="3" fillId="0" borderId="0" xfId="0" applyNumberFormat="1" applyFont="1" applyAlignment="1">
      <alignment horizontal="right" vertical="top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70" fontId="2" fillId="0" borderId="5" xfId="0" applyNumberFormat="1" applyFont="1" applyBorder="1" applyAlignment="1">
      <alignment horizontal="center" vertical="center"/>
    </xf>
    <xf numFmtId="170" fontId="0" fillId="0" borderId="6" xfId="0" applyNumberFormat="1" applyBorder="1" applyAlignment="1">
      <alignment horizontal="center" vertical="center"/>
    </xf>
    <xf numFmtId="0" fontId="3" fillId="0" borderId="0" xfId="0" applyFont="1" applyAlignment="1"/>
    <xf numFmtId="168" fontId="0" fillId="0" borderId="0" xfId="0" applyNumberFormat="1" applyAlignment="1"/>
    <xf numFmtId="164" fontId="3" fillId="0" borderId="0" xfId="0" applyNumberFormat="1" applyFont="1" applyAlignment="1"/>
    <xf numFmtId="0" fontId="0" fillId="0" borderId="0" xfId="0" applyAlignment="1"/>
  </cellXfs>
  <cellStyles count="3">
    <cellStyle name="Currency" xfId="2" builtinId="4"/>
    <cellStyle name="Hyperlink" xfId="1" builtinId="8"/>
    <cellStyle name="Normal" xfId="0" builtinId="0"/>
  </cellStyles>
  <dxfs count="44">
    <dxf>
      <font>
        <strike val="0"/>
        <outline val="0"/>
        <shadow val="0"/>
        <u val="none"/>
        <vertAlign val="baseline"/>
        <sz val="15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5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5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5"/>
        <color theme="1"/>
        <name val="Aptos Narrow"/>
        <family val="2"/>
        <scheme val="minor"/>
      </font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5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numFmt numFmtId="17" formatCode="#\ ?/?"/>
    </dxf>
    <dxf>
      <numFmt numFmtId="2" formatCode="0.00"/>
    </dxf>
    <dxf>
      <numFmt numFmtId="12" formatCode="&quot;$&quot;#,##0.00_);[Red]\(&quot;$&quot;#,##0.00\)"/>
    </dxf>
    <dxf>
      <numFmt numFmtId="30" formatCode="@"/>
    </dxf>
    <dxf>
      <numFmt numFmtId="30" formatCode="@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numFmt numFmtId="0" formatCode="General"/>
      <alignment vertical="center" textRotation="0" indent="0" justifyLastLine="0" shrinkToFit="0" readingOrder="0"/>
    </dxf>
    <dxf>
      <numFmt numFmtId="34" formatCode="_(&quot;$&quot;* #,##0.00_);_(&quot;$&quot;* \(#,##0.00\);_(&quot;$&quot;* &quot;-&quot;??_);_(@_)"/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5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ptos Narrow"/>
        <family val="2"/>
        <scheme val="minor"/>
      </font>
      <numFmt numFmtId="11" formatCode="&quot;$&quot;#,##0.00_);\(&quot;$&quot;#,##0.00\)"/>
      <fill>
        <patternFill patternType="solid">
          <fgColor indexed="64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5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border>
        <top style="thin">
          <color auto="1"/>
        </top>
      </border>
    </dxf>
    <dxf>
      <border>
        <bottom style="thin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5"/>
        <color theme="1"/>
        <name val="Aptos Narrow"/>
        <family val="2"/>
        <scheme val="minor"/>
      </font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5"/>
        <color theme="1"/>
        <name val="Aptos Narrow"/>
        <family val="2"/>
        <scheme val="minor"/>
      </font>
      <alignment horizontal="general" vertic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1" indent="0" justifyLastLine="0" shrinkToFit="0" readingOrder="0"/>
    </dxf>
    <dxf>
      <numFmt numFmtId="17" formatCode="#\ ?/?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1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7" formatCode="[$-409]dddd\,\ mm/dd/yy"/>
      <alignment horizontal="left" vertical="center" textRotation="0" wrapText="0" indent="0" justifyLastLine="0" shrinkToFit="0" readingOrder="0"/>
    </dxf>
    <dxf>
      <numFmt numFmtId="17" formatCode="#\ ?/?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</xdr:row>
          <xdr:rowOff>95250</xdr:rowOff>
        </xdr:from>
        <xdr:to>
          <xdr:col>7</xdr:col>
          <xdr:colOff>438150</xdr:colOff>
          <xdr:row>2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Autofill Today's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22</xdr:row>
          <xdr:rowOff>76200</xdr:rowOff>
        </xdr:from>
        <xdr:to>
          <xdr:col>7</xdr:col>
          <xdr:colOff>533400</xdr:colOff>
          <xdr:row>23</xdr:row>
          <xdr:rowOff>76200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PDF of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228600</xdr:colOff>
          <xdr:row>0</xdr:row>
          <xdr:rowOff>28575</xdr:rowOff>
        </xdr:from>
        <xdr:to>
          <xdr:col>7</xdr:col>
          <xdr:colOff>552450</xdr:colOff>
          <xdr:row>0</xdr:row>
          <xdr:rowOff>381000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Autofill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600075</xdr:colOff>
          <xdr:row>0</xdr:row>
          <xdr:rowOff>47625</xdr:rowOff>
        </xdr:from>
        <xdr:to>
          <xdr:col>12</xdr:col>
          <xdr:colOff>323850</xdr:colOff>
          <xdr:row>0</xdr:row>
          <xdr:rowOff>352425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8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Subtract Inventory Counts From Autofill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600075</xdr:colOff>
          <xdr:row>24</xdr:row>
          <xdr:rowOff>171450</xdr:rowOff>
        </xdr:from>
        <xdr:to>
          <xdr:col>14</xdr:col>
          <xdr:colOff>428625</xdr:colOff>
          <xdr:row>32</xdr:row>
          <xdr:rowOff>114300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Everything in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2</xdr:row>
          <xdr:rowOff>95250</xdr:rowOff>
        </xdr:from>
        <xdr:to>
          <xdr:col>14</xdr:col>
          <xdr:colOff>419100</xdr:colOff>
          <xdr:row>10</xdr:row>
          <xdr:rowOff>38100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PDF of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600075</xdr:colOff>
          <xdr:row>13</xdr:row>
          <xdr:rowOff>152400</xdr:rowOff>
        </xdr:from>
        <xdr:to>
          <xdr:col>14</xdr:col>
          <xdr:colOff>428625</xdr:colOff>
          <xdr:row>21</xdr:row>
          <xdr:rowOff>95250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&amp; Clear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3</xdr:row>
          <xdr:rowOff>57150</xdr:rowOff>
        </xdr:from>
        <xdr:to>
          <xdr:col>23</xdr:col>
          <xdr:colOff>285750</xdr:colOff>
          <xdr:row>3</xdr:row>
          <xdr:rowOff>438150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6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AutoFill From Now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FFADE65-8A07-49BA-B427-BC0903919B72}" name="WorkBookTable" displayName="WorkBookTable" ref="A1:K50" totalsRowShown="0" headerRowDxfId="43" dataDxfId="42">
  <autoFilter ref="A1:K50" xr:uid="{AFFADE65-8A07-49BA-B427-BC0903919B72}"/>
  <tableColumns count="11">
    <tableColumn id="1" xr3:uid="{001A323C-8CDE-45DA-BA4D-B2066E0530B2}" name="Invoice#" dataDxfId="41"/>
    <tableColumn id="2" xr3:uid="{FCB37635-255E-4D03-9810-65D47824AF91}" name="Date" dataDxfId="40"/>
    <tableColumn id="14" xr3:uid="{6572A3DA-34C5-4D5D-9555-B30854F95589}" name="Company" dataDxfId="39"/>
    <tableColumn id="4" xr3:uid="{AE031FD8-F983-4C9E-A851-A1E8CACA89FB}" name="Part Number" dataDxfId="38"/>
    <tableColumn id="5" xr3:uid="{4D91573D-BB55-440E-9213-EDCBDAC83A71}" name="Make/Model" dataDxfId="37">
      <calculatedColumnFormula array="1">IF(LENB(D2) = 0,"", _xlfn.IFNA(INDEX(Inv_Model_Names, MATCH(1, (Inv_Part_Num=D2)*1,  0)), ""))</calculatedColumnFormula>
    </tableColumn>
    <tableColumn id="11" xr3:uid="{0CC30C02-92C8-4555-9C2D-4B6C658836F0}" name="Truck Number" dataDxfId="36"/>
    <tableColumn id="6" xr3:uid="{9F71F84B-151A-4AC8-BFDB-42EC72F15943}" name="Description" dataDxfId="35"/>
    <tableColumn id="7" xr3:uid="{678AA5BC-4896-4760-91E4-3D60B1FA13D9}" name="Amount" dataDxfId="34">
      <calculatedColumnFormula array="1">_xlfn.IFNA(INDEX(PFC_Prices_Colum, MATCH(1, (PFC_Company_Name_Column=C2) * (PFC_Part_Numbers_Column=D2),  0)), 50)</calculatedColumnFormula>
    </tableColumn>
    <tableColumn id="8" xr3:uid="{05F0F43E-33F6-42E7-B2C3-0A93D2B56DA3}" name="Payment Type" dataDxfId="33"/>
    <tableColumn id="9" xr3:uid="{74D554CA-76CD-4DF3-9CB4-89D6B054D939}" name="Payment Status" dataDxfId="32"/>
    <tableColumn id="10" xr3:uid="{B694618D-4322-4E0B-9A22-3E0D2927FA09}" name="Other Additional Info" dataDxfId="31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5959A6F-5BDE-452A-A648-FBB35547A63E}" name="InvoiceCreatorTable" displayName="InvoiceCreatorTable" ref="A11:D23" totalsRowShown="0" headerRowDxfId="30" dataDxfId="29" headerRowBorderDxfId="27" tableBorderDxfId="28" totalsRowBorderDxfId="26">
  <autoFilter ref="A11:D23" xr:uid="{55959A6F-5BDE-452A-A648-FBB35547A63E}"/>
  <tableColumns count="4">
    <tableColumn id="6" xr3:uid="{80984FEB-E26D-427A-A4F3-1733F5E7C81D}" name="Part #" totalsRowDxfId="25"/>
    <tableColumn id="5" xr3:uid="{F52A8628-47F2-4761-B972-85A106D4A088}" name="Make/Model " dataDxfId="23" totalsRowDxfId="24"/>
    <tableColumn id="3" xr3:uid="{CD067DAD-6A5C-4145-9F9F-B5316A7B112E}" name="Description" dataDxfId="21" totalsRowDxfId="22"/>
    <tableColumn id="4" xr3:uid="{FAAEFA57-B6A9-4227-ACD3-431C69EC6643}" name="Amount" dataDxfId="19" totalsRowDxfId="20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7FD982-48E4-4954-94B5-FFF5A76AE135}" name="PricePerClientTable" displayName="PricePerClientTable" ref="A1:F282" totalsRowShown="0" dataDxfId="18">
  <autoFilter ref="A1:F282" xr:uid="{127FD982-48E4-4954-94B5-FFF5A76AE135}"/>
  <sortState xmlns:xlrd2="http://schemas.microsoft.com/office/spreadsheetml/2017/richdata2" ref="A2:F268">
    <sortCondition ref="A2:A268"/>
  </sortState>
  <tableColumns count="6">
    <tableColumn id="1" xr3:uid="{4C688982-0B2E-48ED-9993-659AC1FCE9B7}" name="COMPANY" dataDxfId="17"/>
    <tableColumn id="2" xr3:uid="{847F939A-8DA1-43DE-BA67-F112528F1384}" name="PART NUMBER" dataDxfId="16"/>
    <tableColumn id="3" xr3:uid="{31EDF9B3-A3E4-46CD-950E-BB3C45623FDD}" name="PRICE" dataDxfId="15"/>
    <tableColumn id="4" xr3:uid="{4FFC470D-061D-49A5-AC53-3A299AB65734}" name="DESCRIPTION OF PART" dataDxfId="14">
      <calculatedColumnFormula array="1">IF(LENB(B2) = 0, "", _xlfn.IFNA(INDEX(Inv_Model_Names, MATCH(1, (Inv_Part_Num=B2)*1,  0)), ""))</calculatedColumnFormula>
    </tableColumn>
    <tableColumn id="5" xr3:uid="{3E43526D-7941-49FB-9C3F-C1ED2F9860EA}" name="ANY OTHER DETAILS" dataDxfId="13"/>
    <tableColumn id="6" xr3:uid="{D63B229B-842A-4F92-8F45-CD37ED3F732E}" name="EMAIL" dataDxfId="12"/>
  </tableColumns>
  <tableStyleInfo name="TableStyleMedium2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B160C6F-E807-4CE7-8E97-56230E10E024}" name="InventoryTable" displayName="InventoryTable" ref="A1:E82" totalsRowShown="0">
  <autoFilter ref="A1:E82" xr:uid="{CB160C6F-E807-4CE7-8E97-56230E10E024}"/>
  <tableColumns count="5">
    <tableColumn id="1" xr3:uid="{97A5C6B3-783F-4E0D-AB67-54839D0143D3}" name="Model Name" dataDxfId="11"/>
    <tableColumn id="2" xr3:uid="{B0DF7A63-51C4-4A44-A462-D4B611E98611}" name="Part Number" dataDxfId="10"/>
    <tableColumn id="3" xr3:uid="{31775301-A87C-46E9-8AD7-B4F31E4E23D5}" name="Price" dataDxfId="9"/>
    <tableColumn id="8" xr3:uid="{9FC453DC-97DB-423A-B69F-E63DFD790495}" name="Description of Part" dataDxfId="8"/>
    <tableColumn id="5" xr3:uid="{0F5CF9CA-2B77-4B88-B69B-475132657A54}" name="Amount In Inventory" dataDxfId="7"/>
  </tableColumns>
  <tableStyleInfo name="TableStyleMedium2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7E90F81-3D41-48C1-B177-E72643B6B9DE}" name="Table6" displayName="Table6" ref="A1:A70" totalsRowShown="0">
  <autoFilter ref="A1:A70" xr:uid="{F7E90F81-3D41-48C1-B177-E72643B6B9DE}"/>
  <tableColumns count="1">
    <tableColumn id="1" xr3:uid="{6DD9E61A-F088-4248-BB7E-490DBE783315}" name="Company Names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08B5491-9DD6-498E-BB16-E2BA1905A606}" name="Table5" displayName="Table5" ref="L1:L19" totalsRowShown="0" headerRowDxfId="6" dataDxfId="5">
  <autoFilter ref="L1:L19" xr:uid="{E08B5491-9DD6-498E-BB16-E2BA1905A606}"/>
  <tableColumns count="1">
    <tableColumn id="1" xr3:uid="{9F12B48F-38A2-4D23-AF06-951B42614516}" name="WorkBook Descriptions" dataDxfId="4"/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7DE8CB7-4945-408A-AF3D-56296F964873}" name="Table7" displayName="Table7" ref="A1:A25" totalsRowShown="0" headerRowDxfId="3">
  <autoFilter ref="A1:A25" xr:uid="{C7DE8CB7-4945-408A-AF3D-56296F964873}"/>
  <tableColumns count="1">
    <tableColumn id="1" xr3:uid="{6370DA5A-F461-4951-BB30-D57F0359DCB8}" name="Payment Types"/>
  </tableColumns>
  <tableStyleInfo name="TableStyleLight1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3853E06-65A6-4F06-9DA6-BFA5B9F61486}" name="Table8" displayName="Table8" ref="K1:K25" totalsRowShown="0" headerRowDxfId="2" dataDxfId="1">
  <autoFilter ref="K1:K25" xr:uid="{33853E06-65A6-4F06-9DA6-BFA5B9F61486}"/>
  <tableColumns count="1">
    <tableColumn id="1" xr3:uid="{396EAF42-B30F-445B-9367-476B6D4C1E93}" name="Payment Status" dataDxfId="0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felipesemitruckautoglassinc.com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F7797-0EED-49EA-8B89-A7891FF7D080}">
  <sheetPr codeName="Sheet4">
    <pageSetUpPr fitToPage="1"/>
  </sheetPr>
  <dimension ref="A1:K50"/>
  <sheetViews>
    <sheetView zoomScaleNormal="100" workbookViewId="0">
      <selection activeCell="N6" sqref="N6"/>
    </sheetView>
  </sheetViews>
  <sheetFormatPr defaultRowHeight="15"/>
  <cols>
    <col min="1" max="1" width="12.28515625" bestFit="1" customWidth="1"/>
    <col min="2" max="2" width="19.85546875" bestFit="1" customWidth="1"/>
    <col min="3" max="3" width="25.7109375" customWidth="1"/>
    <col min="4" max="4" width="11" customWidth="1"/>
    <col min="5" max="5" width="30.7109375" customWidth="1"/>
    <col min="6" max="6" width="10.7109375" customWidth="1"/>
    <col min="7" max="7" width="17.42578125" bestFit="1" customWidth="1"/>
    <col min="8" max="8" width="40.7109375" customWidth="1"/>
    <col min="9" max="9" width="22.28515625" bestFit="1" customWidth="1"/>
    <col min="10" max="11" width="15.7109375" customWidth="1"/>
  </cols>
  <sheetData>
    <row r="1" spans="1:11" ht="30">
      <c r="A1" s="13" t="s">
        <v>0</v>
      </c>
      <c r="B1" s="14" t="s">
        <v>1</v>
      </c>
      <c r="C1" s="14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</row>
    <row r="2" spans="1:11" ht="30">
      <c r="A2" s="21">
        <v>2</v>
      </c>
      <c r="B2" s="22">
        <v>45791</v>
      </c>
      <c r="C2" s="23" t="s">
        <v>11</v>
      </c>
      <c r="D2" s="23" t="s">
        <v>12</v>
      </c>
      <c r="E2" s="24" t="str">
        <f t="array" ref="E2">IF(LENB(D2) = 0,"", _xlfn.IFNA(INDEX(Inv_Model_Names, MATCH(1, (Inv_Part_Num=D2)*1,  0)), ""))</f>
        <v>volvo VN series 97-14</v>
      </c>
      <c r="F2" s="21">
        <v>6663</v>
      </c>
      <c r="G2" s="25" t="s">
        <v>13</v>
      </c>
      <c r="H2" s="26" cm="1">
        <f t="array" ref="H2">_xlfn.IFNA(INDEX(PFC_Prices_Colum, MATCH(1, (PFC_Company_Name_Column=C2) * (PFC_Part_Numbers_Column=D2),  0)), 50)</f>
        <v>888</v>
      </c>
      <c r="I2" s="27" t="s">
        <v>14</v>
      </c>
      <c r="J2" s="27" t="s">
        <v>15</v>
      </c>
      <c r="K2" s="27"/>
    </row>
    <row r="3" spans="1:11" ht="30">
      <c r="A3" s="21">
        <v>3</v>
      </c>
      <c r="B3" s="22">
        <v>45791</v>
      </c>
      <c r="C3" s="23" t="s">
        <v>16</v>
      </c>
      <c r="D3" s="23" t="s">
        <v>17</v>
      </c>
      <c r="E3" s="24" t="s">
        <v>18</v>
      </c>
      <c r="F3" s="21">
        <v>20</v>
      </c>
      <c r="G3" s="25" t="s">
        <v>13</v>
      </c>
      <c r="H3" s="26">
        <f t="array" ref="H3">_xlfn.IFNA(INDEX(PFC_Prices_Colum, MATCH(1, (PFC_Company_Name_Column=C3) * (PFC_Part_Numbers_Column=D3),  0)), 50)</f>
        <v>123</v>
      </c>
      <c r="I3" s="27"/>
      <c r="J3" s="27" t="s">
        <v>19</v>
      </c>
      <c r="K3" s="27" t="s">
        <v>20</v>
      </c>
    </row>
    <row r="4" spans="1:11" ht="30">
      <c r="A4" s="21">
        <v>3</v>
      </c>
      <c r="B4" s="22">
        <v>45791</v>
      </c>
      <c r="C4" s="23" t="s">
        <v>16</v>
      </c>
      <c r="D4" s="23" t="s">
        <v>21</v>
      </c>
      <c r="E4" s="24" t="s">
        <v>18</v>
      </c>
      <c r="F4" s="21">
        <v>20</v>
      </c>
      <c r="G4" s="25" t="s">
        <v>13</v>
      </c>
      <c r="H4" s="26" cm="1">
        <f t="array" ref="H4">_xlfn.IFNA(INDEX(PFC_Prices_Colum, MATCH(1, (PFC_Company_Name_Column=C4) * (PFC_Part_Numbers_Column=D4),  0)), 50)</f>
        <v>255</v>
      </c>
      <c r="I4" s="27"/>
      <c r="J4" s="27" t="s">
        <v>19</v>
      </c>
      <c r="K4" s="27"/>
    </row>
    <row r="5" spans="1:11" ht="30">
      <c r="A5" s="21">
        <v>4</v>
      </c>
      <c r="B5" s="22">
        <v>45791</v>
      </c>
      <c r="C5" s="23" t="s">
        <v>22</v>
      </c>
      <c r="D5" s="23" t="s">
        <v>23</v>
      </c>
      <c r="E5" s="24" t="str">
        <f t="array" ref="E5">IF(LENB(D5) = 0,"", _xlfn.IFNA(INDEX(Inv_Model_Names, MATCH(1, (Inv_Part_Num=D5)*1,  0)), ""))</f>
        <v xml:space="preserve">FREIGHTLINER CASCADIA conv. Cab 17-22  </v>
      </c>
      <c r="F5" s="21">
        <v>369</v>
      </c>
      <c r="G5" s="25" t="s">
        <v>13</v>
      </c>
      <c r="H5" s="26">
        <v>369</v>
      </c>
      <c r="I5" s="27" t="s">
        <v>14</v>
      </c>
      <c r="J5" s="27" t="s">
        <v>15</v>
      </c>
      <c r="K5" s="27"/>
    </row>
    <row r="6" spans="1:11" ht="30">
      <c r="A6" s="21">
        <v>5</v>
      </c>
      <c r="B6" s="22">
        <v>45426</v>
      </c>
      <c r="C6" s="23" t="s">
        <v>24</v>
      </c>
      <c r="D6" s="23" t="s">
        <v>12</v>
      </c>
      <c r="E6" s="24" t="str" cm="1">
        <f t="array" ref="E6">IF(LENB(D6) = 0,"", _xlfn.IFNA(INDEX(Inv_Model_Names, MATCH(1, (Inv_Part_Num=D6)*1,  0)), ""))</f>
        <v>volvo VN series 97-14</v>
      </c>
      <c r="F6" s="21">
        <v>108</v>
      </c>
      <c r="G6" s="25" t="s">
        <v>25</v>
      </c>
      <c r="H6" s="26">
        <v>369</v>
      </c>
      <c r="I6" s="27" t="s">
        <v>26</v>
      </c>
      <c r="J6" s="27" t="s">
        <v>19</v>
      </c>
      <c r="K6" s="27"/>
    </row>
    <row r="7" spans="1:11" ht="30">
      <c r="A7" s="21">
        <v>6</v>
      </c>
      <c r="B7" s="22">
        <v>45791</v>
      </c>
      <c r="C7" s="23" t="s">
        <v>27</v>
      </c>
      <c r="D7" s="23" t="s">
        <v>28</v>
      </c>
      <c r="E7" s="24" t="str" cm="1">
        <f t="array" ref="E7">IF(LENB(D7) = 0,"", _xlfn.IFNA(INDEX(Inv_Model_Names, MATCH(1, (Inv_Part_Num=D7)*1,  0)), ""))</f>
        <v>Door Glass Peterbilt 579 P/S</v>
      </c>
      <c r="F7" s="21">
        <v>739218</v>
      </c>
      <c r="G7" s="25" t="s">
        <v>25</v>
      </c>
      <c r="H7" s="26">
        <v>222</v>
      </c>
      <c r="I7" s="27" t="s">
        <v>29</v>
      </c>
      <c r="J7" s="27" t="s">
        <v>19</v>
      </c>
      <c r="K7" s="27"/>
    </row>
    <row r="8" spans="1:11" ht="30">
      <c r="A8" s="21">
        <v>7</v>
      </c>
      <c r="B8" s="22">
        <v>45791</v>
      </c>
      <c r="C8" s="23" t="s">
        <v>30</v>
      </c>
      <c r="D8" s="23" t="s">
        <v>23</v>
      </c>
      <c r="E8" s="24" t="str" cm="1">
        <f t="array" ref="E8">IF(LENB(D8) = 0,"", _xlfn.IFNA(INDEX(Inv_Model_Names, MATCH(1, (Inv_Part_Num=D8)*1,  0)), ""))</f>
        <v xml:space="preserve">FREIGHTLINER CASCADIA conv. Cab 17-22  </v>
      </c>
      <c r="F8" s="21">
        <v>134</v>
      </c>
      <c r="G8" s="25" t="s">
        <v>13</v>
      </c>
      <c r="H8" s="26">
        <v>222</v>
      </c>
      <c r="I8" s="27"/>
      <c r="J8" s="27" t="s">
        <v>19</v>
      </c>
      <c r="K8" s="27"/>
    </row>
    <row r="9" spans="1:11" ht="30">
      <c r="A9" s="21">
        <v>8</v>
      </c>
      <c r="B9" s="22">
        <v>45792</v>
      </c>
      <c r="C9" s="23" t="s">
        <v>31</v>
      </c>
      <c r="D9" s="23" t="s">
        <v>32</v>
      </c>
      <c r="E9" s="24" t="str" cm="1">
        <f t="array" ref="E9">IF(LENB(D9) = 0,"", _xlfn.IFNA(INDEX(Inv_Model_Names, MATCH(1, (Inv_Part_Num=D9)*1,  0)), ""))</f>
        <v>FREIGHTLINER CASCADIA (LDWS &amp; RAIN SENEOR)</v>
      </c>
      <c r="F9" s="21">
        <v>6354</v>
      </c>
      <c r="G9" s="25" t="s">
        <v>33</v>
      </c>
      <c r="H9" s="26">
        <v>111</v>
      </c>
      <c r="I9" s="27" t="s">
        <v>14</v>
      </c>
      <c r="J9" s="27" t="s">
        <v>34</v>
      </c>
      <c r="K9" s="27"/>
    </row>
    <row r="10" spans="1:11" ht="30">
      <c r="A10" s="21">
        <v>9</v>
      </c>
      <c r="B10" s="22">
        <v>45792</v>
      </c>
      <c r="C10" s="23" t="s">
        <v>35</v>
      </c>
      <c r="D10" s="23" t="s">
        <v>36</v>
      </c>
      <c r="E10" s="24" t="str" cm="1">
        <f t="array" ref="E10">IF(LENB(D10) = 0,"", _xlfn.IFNA(INDEX(Inv_Model_Names, MATCH(1, (Inv_Part_Num=D10)*1,  0)), ""))</f>
        <v>FREIGHTLINER CASCADIA LDWS conv. Cab 17-22</v>
      </c>
      <c r="F10" s="21">
        <v>324</v>
      </c>
      <c r="G10" s="25" t="s">
        <v>13</v>
      </c>
      <c r="H10" s="26" cm="1">
        <f t="array" ref="H10">_xlfn.IFNA(INDEX(PFC_Prices_Colum, MATCH(1, (PFC_Company_Name_Column=C10) * (PFC_Part_Numbers_Column=D10),  0)), 50)</f>
        <v>227</v>
      </c>
      <c r="I10" s="27" t="s">
        <v>26</v>
      </c>
      <c r="J10" s="27" t="s">
        <v>19</v>
      </c>
      <c r="K10" s="27"/>
    </row>
    <row r="11" spans="1:11" ht="30">
      <c r="A11" s="21">
        <v>10</v>
      </c>
      <c r="B11" s="22">
        <v>45792</v>
      </c>
      <c r="C11" s="23" t="s">
        <v>37</v>
      </c>
      <c r="D11" s="23" t="s">
        <v>12</v>
      </c>
      <c r="E11" s="24" t="str" cm="1">
        <f t="array" ref="E11">IF(LENB(D11) = 0,"", _xlfn.IFNA(INDEX(Inv_Model_Names, MATCH(1, (Inv_Part_Num=D11)*1,  0)), ""))</f>
        <v>volvo VN series 97-14</v>
      </c>
      <c r="F11" s="21">
        <v>7814</v>
      </c>
      <c r="G11" s="25" t="s">
        <v>25</v>
      </c>
      <c r="H11" s="26">
        <v>3333</v>
      </c>
      <c r="I11" s="27" t="s">
        <v>26</v>
      </c>
      <c r="J11" s="27" t="s">
        <v>19</v>
      </c>
      <c r="K11" s="27"/>
    </row>
    <row r="12" spans="1:11" ht="30">
      <c r="A12" s="21">
        <v>11</v>
      </c>
      <c r="B12" s="22">
        <v>45792</v>
      </c>
      <c r="C12" s="23" t="s">
        <v>38</v>
      </c>
      <c r="D12" s="23" t="s">
        <v>23</v>
      </c>
      <c r="E12" s="24" t="str" cm="1">
        <f t="array" ref="E12">IF(LENB(D12) = 0,"", _xlfn.IFNA(INDEX(Inv_Model_Names, MATCH(1, (Inv_Part_Num=D12)*1,  0)), ""))</f>
        <v xml:space="preserve">FREIGHTLINER CASCADIA conv. Cab 17-22  </v>
      </c>
      <c r="F12" s="21">
        <v>454</v>
      </c>
      <c r="G12" s="25" t="s">
        <v>39</v>
      </c>
      <c r="H12" s="26">
        <v>333</v>
      </c>
      <c r="I12" s="27" t="s">
        <v>26</v>
      </c>
      <c r="J12" s="27" t="s">
        <v>15</v>
      </c>
      <c r="K12" s="27"/>
    </row>
    <row r="13" spans="1:11" ht="30">
      <c r="A13" s="21">
        <v>12</v>
      </c>
      <c r="B13" s="22">
        <v>45792</v>
      </c>
      <c r="C13" s="23" t="s">
        <v>40</v>
      </c>
      <c r="D13" s="23" t="s">
        <v>41</v>
      </c>
      <c r="E13" s="24" t="str" cm="1">
        <f t="array" ref="E13">IF(LENB(D13) = 0,"", _xlfn.IFNA(INDEX(Inv_Model_Names, MATCH(1, (Inv_Part_Num=D13)*1,  0)), ""))</f>
        <v>FREIGHTLINER corornado Century class conv. cab 96-18 L</v>
      </c>
      <c r="F13" s="21">
        <v>278</v>
      </c>
      <c r="G13" s="25" t="s">
        <v>13</v>
      </c>
      <c r="H13" s="26">
        <v>333</v>
      </c>
      <c r="I13" s="27" t="s">
        <v>26</v>
      </c>
      <c r="J13" s="27" t="s">
        <v>15</v>
      </c>
      <c r="K13" s="27"/>
    </row>
    <row r="14" spans="1:11" ht="30">
      <c r="A14" s="21">
        <v>13</v>
      </c>
      <c r="B14" s="22">
        <v>45792</v>
      </c>
      <c r="C14" s="23" t="s">
        <v>42</v>
      </c>
      <c r="D14" s="23" t="s">
        <v>41</v>
      </c>
      <c r="E14" s="24" t="str" cm="1">
        <f t="array" ref="E14">IF(LENB(D14) = 0,"", _xlfn.IFNA(INDEX(Inv_Model_Names, MATCH(1, (Inv_Part_Num=D14)*1,  0)), ""))</f>
        <v>FREIGHTLINER corornado Century class conv. cab 96-18 L</v>
      </c>
      <c r="F14" s="21">
        <v>2016</v>
      </c>
      <c r="G14" s="25" t="s">
        <v>13</v>
      </c>
      <c r="H14" s="26">
        <v>554</v>
      </c>
      <c r="I14" s="27" t="s">
        <v>43</v>
      </c>
      <c r="J14" s="27" t="s">
        <v>15</v>
      </c>
      <c r="K14" s="27"/>
    </row>
    <row r="15" spans="1:11" ht="30">
      <c r="A15" s="21">
        <v>14</v>
      </c>
      <c r="B15" s="22">
        <v>45792</v>
      </c>
      <c r="C15" s="23" t="s">
        <v>44</v>
      </c>
      <c r="D15" s="23" t="s">
        <v>45</v>
      </c>
      <c r="E15" s="24" t="str" cm="1">
        <f t="array" ref="E15">IF(LENB(D15) = 0,"", _xlfn.IFNA(INDEX(Inv_Model_Names, MATCH(1, (Inv_Part_Num=D15)*1,  0)), ""))</f>
        <v>FREIGHTLINER CASCADIA half conv. Cab 08-19 R</v>
      </c>
      <c r="F15" s="21">
        <v>1233</v>
      </c>
      <c r="G15" s="25" t="s">
        <v>13</v>
      </c>
      <c r="H15" s="26">
        <v>123</v>
      </c>
      <c r="I15" s="27" t="s">
        <v>46</v>
      </c>
      <c r="J15" s="27" t="s">
        <v>15</v>
      </c>
      <c r="K15" s="27"/>
    </row>
    <row r="16" spans="1:11" ht="30">
      <c r="A16" s="21">
        <v>15</v>
      </c>
      <c r="B16" s="22">
        <v>45792</v>
      </c>
      <c r="C16" s="23" t="s">
        <v>47</v>
      </c>
      <c r="D16" s="23" t="s">
        <v>23</v>
      </c>
      <c r="E16" s="24" t="str" cm="1">
        <f t="array" ref="E16">IF(LENB(D16) = 0,"", _xlfn.IFNA(INDEX(Inv_Model_Names, MATCH(1, (Inv_Part_Num=D16)*1,  0)), ""))</f>
        <v xml:space="preserve">FREIGHTLINER CASCADIA conv. Cab 17-22  </v>
      </c>
      <c r="F16" s="21">
        <v>835</v>
      </c>
      <c r="G16" s="25" t="s">
        <v>13</v>
      </c>
      <c r="H16" s="26">
        <v>123</v>
      </c>
      <c r="I16" s="27" t="s">
        <v>48</v>
      </c>
      <c r="J16" s="27" t="s">
        <v>15</v>
      </c>
      <c r="K16" s="27"/>
    </row>
    <row r="17" spans="1:11" ht="30">
      <c r="A17" s="21">
        <v>16</v>
      </c>
      <c r="B17" s="22">
        <v>45792</v>
      </c>
      <c r="C17" s="23" t="s">
        <v>49</v>
      </c>
      <c r="D17" s="23" t="s">
        <v>23</v>
      </c>
      <c r="E17" s="24" t="str" cm="1">
        <f t="array" ref="E17">IF(LENB(D17) = 0,"", _xlfn.IFNA(INDEX(Inv_Model_Names, MATCH(1, (Inv_Part_Num=D17)*1,  0)), ""))</f>
        <v xml:space="preserve">FREIGHTLINER CASCADIA conv. Cab 17-22  </v>
      </c>
      <c r="F17" s="21">
        <v>1139</v>
      </c>
      <c r="G17" s="25" t="s">
        <v>13</v>
      </c>
      <c r="H17" s="26">
        <v>123</v>
      </c>
      <c r="I17" s="27" t="s">
        <v>50</v>
      </c>
      <c r="J17" s="27" t="s">
        <v>19</v>
      </c>
      <c r="K17" s="27"/>
    </row>
    <row r="18" spans="1:11" ht="30">
      <c r="A18" s="21">
        <v>17</v>
      </c>
      <c r="B18" s="22">
        <v>45792</v>
      </c>
      <c r="C18" s="23" t="s">
        <v>30</v>
      </c>
      <c r="D18" s="23" t="s">
        <v>23</v>
      </c>
      <c r="E18" s="24" t="str" cm="1">
        <f t="array" ref="E18">IF(LENB(D18) = 0,"", _xlfn.IFNA(INDEX(Inv_Model_Names, MATCH(1, (Inv_Part_Num=D18)*1,  0)), ""))</f>
        <v xml:space="preserve">FREIGHTLINER CASCADIA conv. Cab 17-22  </v>
      </c>
      <c r="F18" s="21">
        <v>5225</v>
      </c>
      <c r="G18" s="25" t="s">
        <v>13</v>
      </c>
      <c r="H18" s="26">
        <v>123</v>
      </c>
      <c r="I18" s="27" t="s">
        <v>51</v>
      </c>
      <c r="J18" s="27" t="s">
        <v>15</v>
      </c>
      <c r="K18" s="27"/>
    </row>
    <row r="19" spans="1:11" ht="30">
      <c r="A19" s="21">
        <v>18</v>
      </c>
      <c r="B19" s="22">
        <v>45792</v>
      </c>
      <c r="C19" s="23" t="s">
        <v>52</v>
      </c>
      <c r="D19" s="23" t="s">
        <v>23</v>
      </c>
      <c r="E19" s="24" t="str" cm="1">
        <f t="array" ref="E19">IF(LENB(D19) = 0,"", _xlfn.IFNA(INDEX(Inv_Model_Names, MATCH(1, (Inv_Part_Num=D19)*1,  0)), ""))</f>
        <v xml:space="preserve">FREIGHTLINER CASCADIA conv. Cab 17-22  </v>
      </c>
      <c r="F19" s="21">
        <v>1189</v>
      </c>
      <c r="G19" s="25" t="s">
        <v>13</v>
      </c>
      <c r="H19" s="26">
        <v>123</v>
      </c>
      <c r="I19" s="27" t="s">
        <v>51</v>
      </c>
      <c r="J19" s="27" t="s">
        <v>19</v>
      </c>
      <c r="K19" s="27"/>
    </row>
    <row r="20" spans="1:11" ht="30">
      <c r="A20" s="21">
        <v>19</v>
      </c>
      <c r="B20" s="22">
        <v>45792</v>
      </c>
      <c r="C20" s="23" t="s">
        <v>53</v>
      </c>
      <c r="D20" s="23" t="s">
        <v>12</v>
      </c>
      <c r="E20" s="24" t="str" cm="1">
        <f t="array" ref="E20">IF(LENB(D20) = 0,"", _xlfn.IFNA(INDEX(Inv_Model_Names, MATCH(1, (Inv_Part_Num=D20)*1,  0)), ""))</f>
        <v>volvo VN series 97-14</v>
      </c>
      <c r="F20" s="21">
        <v>1237</v>
      </c>
      <c r="G20" s="25" t="s">
        <v>13</v>
      </c>
      <c r="H20" s="26">
        <v>123</v>
      </c>
      <c r="I20" s="27"/>
      <c r="J20" s="27" t="s">
        <v>19</v>
      </c>
      <c r="K20" s="27"/>
    </row>
    <row r="21" spans="1:11" ht="30">
      <c r="A21" s="21">
        <v>20</v>
      </c>
      <c r="B21" s="22">
        <v>45792</v>
      </c>
      <c r="C21" s="23" t="s">
        <v>54</v>
      </c>
      <c r="D21" s="23" t="s">
        <v>23</v>
      </c>
      <c r="E21" s="24" t="str" cm="1">
        <f t="array" ref="E21">IF(LENB(D21) = 0,"", _xlfn.IFNA(INDEX(Inv_Model_Names, MATCH(1, (Inv_Part_Num=D21)*1,  0)), ""))</f>
        <v xml:space="preserve">FREIGHTLINER CASCADIA conv. Cab 17-22  </v>
      </c>
      <c r="F21" s="21">
        <v>189</v>
      </c>
      <c r="G21" s="25" t="s">
        <v>13</v>
      </c>
      <c r="H21" s="26" cm="1">
        <f t="array" ref="H21">_xlfn.IFNA(INDEX(PFC_Prices_Colum, MATCH(1, (PFC_Company_Name_Column=C21) * (PFC_Part_Numbers_Column=D21),  0)), 50)</f>
        <v>133</v>
      </c>
      <c r="I21" s="27"/>
      <c r="J21" s="27" t="s">
        <v>19</v>
      </c>
      <c r="K21" s="27"/>
    </row>
    <row r="22" spans="1:11" ht="30">
      <c r="A22" s="21">
        <v>21</v>
      </c>
      <c r="B22" s="22">
        <v>45793</v>
      </c>
      <c r="C22" s="23" t="s">
        <v>55</v>
      </c>
      <c r="D22" s="23" t="s">
        <v>32</v>
      </c>
      <c r="E22" s="24" t="str" cm="1">
        <f t="array" ref="E22">IF(LENB(D22) = 0,"", _xlfn.IFNA(INDEX(Inv_Model_Names, MATCH(1, (Inv_Part_Num=D22)*1,  0)), ""))</f>
        <v>FREIGHTLINER CASCADIA (LDWS &amp; RAIN SENEOR)</v>
      </c>
      <c r="F22" s="21">
        <v>4237</v>
      </c>
      <c r="G22" s="25" t="s">
        <v>13</v>
      </c>
      <c r="H22" s="26">
        <v>444</v>
      </c>
      <c r="I22" s="27" t="s">
        <v>29</v>
      </c>
      <c r="J22" s="27" t="s">
        <v>19</v>
      </c>
      <c r="K22" s="27"/>
    </row>
    <row r="23" spans="1:11" ht="30">
      <c r="A23" s="21">
        <v>21</v>
      </c>
      <c r="B23" s="22">
        <v>45793</v>
      </c>
      <c r="C23" s="23" t="s">
        <v>55</v>
      </c>
      <c r="D23" s="23" t="s">
        <v>32</v>
      </c>
      <c r="E23" s="24" t="str" cm="1">
        <f t="array" ref="E23">IF(LENB(D23) = 0,"", _xlfn.IFNA(INDEX(Inv_Model_Names, MATCH(1, (Inv_Part_Num=D23)*1,  0)), ""))</f>
        <v>FREIGHTLINER CASCADIA (LDWS &amp; RAIN SENEOR)</v>
      </c>
      <c r="F23" s="21">
        <v>1039</v>
      </c>
      <c r="G23" s="25" t="s">
        <v>13</v>
      </c>
      <c r="H23" s="26">
        <v>444</v>
      </c>
      <c r="I23" s="27"/>
      <c r="J23" s="27" t="s">
        <v>19</v>
      </c>
      <c r="K23" s="27"/>
    </row>
    <row r="24" spans="1:11" ht="30">
      <c r="A24" s="21">
        <v>22</v>
      </c>
      <c r="B24" s="22">
        <v>45793</v>
      </c>
      <c r="C24" s="23" t="s">
        <v>56</v>
      </c>
      <c r="D24" s="23" t="s">
        <v>32</v>
      </c>
      <c r="E24" s="24" t="str" cm="1">
        <f t="array" ref="E24">IF(LENB(D24) = 0,"", _xlfn.IFNA(INDEX(Inv_Model_Names, MATCH(1, (Inv_Part_Num=D24)*1,  0)), ""))</f>
        <v>FREIGHTLINER CASCADIA (LDWS &amp; RAIN SENEOR)</v>
      </c>
      <c r="F24" s="21">
        <v>441235</v>
      </c>
      <c r="G24" s="25" t="s">
        <v>13</v>
      </c>
      <c r="H24" s="26">
        <v>444</v>
      </c>
      <c r="I24" s="27" t="s">
        <v>50</v>
      </c>
      <c r="J24" s="27" t="s">
        <v>15</v>
      </c>
      <c r="K24" s="27"/>
    </row>
    <row r="25" spans="1:11" ht="30">
      <c r="A25" s="21">
        <v>22</v>
      </c>
      <c r="B25" s="22">
        <v>45793</v>
      </c>
      <c r="C25" s="23" t="s">
        <v>56</v>
      </c>
      <c r="D25" s="23" t="s">
        <v>32</v>
      </c>
      <c r="E25" s="24" t="str" cm="1">
        <f t="array" ref="E25">IF(LENB(D25) = 0,"", _xlfn.IFNA(INDEX(Inv_Model_Names, MATCH(1, (Inv_Part_Num=D25)*1,  0)), ""))</f>
        <v>FREIGHTLINER CASCADIA (LDWS &amp; RAIN SENEOR)</v>
      </c>
      <c r="F25" s="21">
        <v>1507</v>
      </c>
      <c r="G25" s="25" t="s">
        <v>13</v>
      </c>
      <c r="H25" s="26">
        <v>226</v>
      </c>
      <c r="I25" s="27" t="s">
        <v>57</v>
      </c>
      <c r="J25" s="27" t="s">
        <v>15</v>
      </c>
      <c r="K25" s="27"/>
    </row>
    <row r="26" spans="1:11" ht="30">
      <c r="A26" s="21">
        <v>23</v>
      </c>
      <c r="B26" s="22">
        <v>45793</v>
      </c>
      <c r="C26" s="23" t="s">
        <v>58</v>
      </c>
      <c r="D26" s="23" t="s">
        <v>32</v>
      </c>
      <c r="E26" s="24" t="str" cm="1">
        <f t="array" ref="E26">IF(LENB(D26) = 0,"", _xlfn.IFNA(INDEX(Inv_Model_Names, MATCH(1, (Inv_Part_Num=D26)*1,  0)), ""))</f>
        <v>FREIGHTLINER CASCADIA (LDWS &amp; RAIN SENEOR)</v>
      </c>
      <c r="F26" s="21">
        <v>562</v>
      </c>
      <c r="G26" s="25" t="s">
        <v>13</v>
      </c>
      <c r="H26" s="26">
        <v>164</v>
      </c>
      <c r="I26" s="27" t="s">
        <v>46</v>
      </c>
      <c r="J26" s="27" t="s">
        <v>15</v>
      </c>
      <c r="K26" s="27"/>
    </row>
    <row r="27" spans="1:11" ht="30">
      <c r="A27" s="21">
        <v>24</v>
      </c>
      <c r="B27" s="22">
        <v>45793</v>
      </c>
      <c r="C27" s="23" t="s">
        <v>59</v>
      </c>
      <c r="D27" s="23" t="s">
        <v>45</v>
      </c>
      <c r="E27" s="24" t="str" cm="1">
        <f t="array" ref="E27">IF(LENB(D27) = 0,"", _xlfn.IFNA(INDEX(Inv_Model_Names, MATCH(1, (Inv_Part_Num=D27)*1,  0)), ""))</f>
        <v>FREIGHTLINER CASCADIA half conv. Cab 08-19 R</v>
      </c>
      <c r="F27" s="21">
        <v>213</v>
      </c>
      <c r="G27" s="25" t="s">
        <v>13</v>
      </c>
      <c r="H27" s="26">
        <v>111</v>
      </c>
      <c r="I27" s="27" t="s">
        <v>46</v>
      </c>
      <c r="J27" s="27" t="s">
        <v>15</v>
      </c>
      <c r="K27" s="27"/>
    </row>
    <row r="28" spans="1:11" ht="30">
      <c r="A28" s="21">
        <v>25</v>
      </c>
      <c r="B28" s="22">
        <v>45793</v>
      </c>
      <c r="C28" s="23" t="s">
        <v>60</v>
      </c>
      <c r="D28" s="23" t="s">
        <v>61</v>
      </c>
      <c r="E28" s="24" t="str" cm="1">
        <f t="array" ref="E28">IF(LENB(D28) = 0,"", _xlfn.IFNA(INDEX(Inv_Model_Names, MATCH(1, (Inv_Part_Num=D28)*1,  0)), ""))</f>
        <v>ISUZO NPR</v>
      </c>
      <c r="F28" s="21">
        <v>203355</v>
      </c>
      <c r="G28" s="25" t="s">
        <v>13</v>
      </c>
      <c r="H28" s="26">
        <v>111</v>
      </c>
      <c r="I28" s="27" t="s">
        <v>62</v>
      </c>
      <c r="J28" s="27" t="s">
        <v>19</v>
      </c>
      <c r="K28" s="27"/>
    </row>
    <row r="29" spans="1:11" ht="60">
      <c r="A29" s="21">
        <v>26</v>
      </c>
      <c r="B29" s="22">
        <v>45793</v>
      </c>
      <c r="C29" s="23" t="s">
        <v>63</v>
      </c>
      <c r="D29" s="23" t="s">
        <v>64</v>
      </c>
      <c r="E29" s="24" t="str" cm="1">
        <f t="array" ref="E29">IF(LENB(D29) = 0,"", _xlfn.IFNA(INDEX(Inv_Model_Names, MATCH(1, (Inv_Part_Num=D29)*1,  0)), ""))</f>
        <v>REMOVED &amp; RE- INSTALLED</v>
      </c>
      <c r="F29" s="21">
        <v>7041</v>
      </c>
      <c r="G29" s="25" t="s">
        <v>65</v>
      </c>
      <c r="H29" s="26">
        <v>112</v>
      </c>
      <c r="I29" s="27" t="s">
        <v>43</v>
      </c>
      <c r="J29" s="27" t="s">
        <v>19</v>
      </c>
      <c r="K29" s="27"/>
    </row>
    <row r="30" spans="1:11" ht="30">
      <c r="A30" s="21">
        <v>27</v>
      </c>
      <c r="B30" s="22">
        <v>45793</v>
      </c>
      <c r="C30" s="23" t="s">
        <v>31</v>
      </c>
      <c r="D30" s="23" t="s">
        <v>32</v>
      </c>
      <c r="E30" s="24" t="str" cm="1">
        <f t="array" ref="E30">IF(LENB(D30) = 0,"", _xlfn.IFNA(INDEX(Inv_Model_Names, MATCH(1, (Inv_Part_Num=D30)*1,  0)), ""))</f>
        <v>FREIGHTLINER CASCADIA (LDWS &amp; RAIN SENEOR)</v>
      </c>
      <c r="F30" s="21">
        <v>3</v>
      </c>
      <c r="G30" s="25" t="s">
        <v>13</v>
      </c>
      <c r="H30" s="26">
        <v>222</v>
      </c>
      <c r="I30" s="27"/>
      <c r="J30" s="27" t="s">
        <v>19</v>
      </c>
      <c r="K30" s="27"/>
    </row>
    <row r="31" spans="1:11" ht="30">
      <c r="A31" s="21">
        <v>28</v>
      </c>
      <c r="B31" s="22">
        <v>45793</v>
      </c>
      <c r="C31" s="23" t="s">
        <v>66</v>
      </c>
      <c r="D31" s="23" t="s">
        <v>32</v>
      </c>
      <c r="E31" s="24" t="str" cm="1">
        <f t="array" ref="E31">IF(LENB(D31) = 0,"", _xlfn.IFNA(INDEX(Inv_Model_Names, MATCH(1, (Inv_Part_Num=D31)*1,  0)), ""))</f>
        <v>FREIGHTLINER CASCADIA (LDWS &amp; RAIN SENEOR)</v>
      </c>
      <c r="F31" s="21">
        <v>801</v>
      </c>
      <c r="G31" s="25" t="s">
        <v>13</v>
      </c>
      <c r="H31" s="26">
        <v>245</v>
      </c>
      <c r="I31" s="27"/>
      <c r="J31" s="27" t="s">
        <v>19</v>
      </c>
      <c r="K31" s="27" t="s">
        <v>67</v>
      </c>
    </row>
    <row r="32" spans="1:11" ht="30">
      <c r="A32" s="21">
        <v>29</v>
      </c>
      <c r="B32" s="22">
        <v>45793</v>
      </c>
      <c r="C32" s="23" t="s">
        <v>68</v>
      </c>
      <c r="D32" s="23" t="s">
        <v>23</v>
      </c>
      <c r="E32" s="24" t="str" cm="1">
        <f t="array" ref="E32">IF(LENB(D32) = 0,"", _xlfn.IFNA(INDEX(Inv_Model_Names, MATCH(1, (Inv_Part_Num=D32)*1,  0)), ""))</f>
        <v xml:space="preserve">FREIGHTLINER CASCADIA conv. Cab 17-22  </v>
      </c>
      <c r="F32" s="21" t="s">
        <v>69</v>
      </c>
      <c r="G32" s="25" t="s">
        <v>13</v>
      </c>
      <c r="H32" s="26" cm="1">
        <f t="array" ref="H32">_xlfn.IFNA(INDEX(PFC_Prices_Colum, MATCH(1, (PFC_Company_Name_Column=C32) * (PFC_Part_Numbers_Column=D32),  0)), 50)</f>
        <v>133</v>
      </c>
      <c r="I32" s="27"/>
      <c r="J32" s="27" t="s">
        <v>19</v>
      </c>
      <c r="K32" s="27"/>
    </row>
    <row r="33" spans="1:11" ht="30">
      <c r="A33" s="21">
        <v>30</v>
      </c>
      <c r="B33" s="22">
        <v>45793</v>
      </c>
      <c r="C33" s="23" t="s">
        <v>70</v>
      </c>
      <c r="D33" s="23" t="s">
        <v>23</v>
      </c>
      <c r="E33" s="24" t="str" cm="1">
        <f t="array" ref="E33">IF(LENB(D33) = 0,"", _xlfn.IFNA(INDEX(Inv_Model_Names, MATCH(1, (Inv_Part_Num=D33)*1,  0)), ""))</f>
        <v xml:space="preserve">FREIGHTLINER CASCADIA conv. Cab 17-22  </v>
      </c>
      <c r="F33" s="21">
        <v>211</v>
      </c>
      <c r="G33" s="25" t="s">
        <v>13</v>
      </c>
      <c r="H33" s="26" cm="1">
        <f t="array" ref="H33">_xlfn.IFNA(INDEX(PFC_Prices_Colum, MATCH(1, (PFC_Company_Name_Column=C33) * (PFC_Part_Numbers_Column=D33),  0)), 50)</f>
        <v>50</v>
      </c>
      <c r="I33" s="27"/>
      <c r="J33" s="27" t="s">
        <v>19</v>
      </c>
      <c r="K33" s="27"/>
    </row>
    <row r="34" spans="1:11" ht="30">
      <c r="A34" s="21">
        <v>31</v>
      </c>
      <c r="B34" s="22">
        <v>45793</v>
      </c>
      <c r="C34" s="23" t="s">
        <v>71</v>
      </c>
      <c r="D34" s="23" t="s">
        <v>12</v>
      </c>
      <c r="E34" s="24" t="str" cm="1">
        <f t="array" ref="E34">IF(LENB(D34) = 0,"", _xlfn.IFNA(INDEX(Inv_Model_Names, MATCH(1, (Inv_Part_Num=D34)*1,  0)), ""))</f>
        <v>volvo VN series 97-14</v>
      </c>
      <c r="F34" s="21">
        <v>102</v>
      </c>
      <c r="G34" s="25" t="s">
        <v>13</v>
      </c>
      <c r="H34" s="26" cm="1">
        <f t="array" ref="H34">_xlfn.IFNA(INDEX(PFC_Prices_Colum, MATCH(1, (PFC_Company_Name_Column=C34) * (PFC_Part_Numbers_Column=D34),  0)), 50)</f>
        <v>50</v>
      </c>
      <c r="I34" s="27"/>
      <c r="J34" s="27" t="s">
        <v>15</v>
      </c>
      <c r="K34" s="27"/>
    </row>
    <row r="35" spans="1:11" ht="30">
      <c r="A35" s="21">
        <v>32</v>
      </c>
      <c r="B35" s="22">
        <v>45796</v>
      </c>
      <c r="C35" s="23" t="s">
        <v>31</v>
      </c>
      <c r="D35" s="23" t="s">
        <v>32</v>
      </c>
      <c r="E35" s="24" t="str" cm="1">
        <f t="array" ref="E35">IF(LENB(D35) = 0,"", _xlfn.IFNA(INDEX(Inv_Model_Names, MATCH(1, (Inv_Part_Num=D35)*1,  0)), ""))</f>
        <v>FREIGHTLINER CASCADIA (LDWS &amp; RAIN SENEOR)</v>
      </c>
      <c r="F35" s="21">
        <v>55</v>
      </c>
      <c r="G35" s="25" t="s">
        <v>13</v>
      </c>
      <c r="H35" s="26">
        <v>55</v>
      </c>
      <c r="I35" s="27"/>
      <c r="J35" s="27" t="s">
        <v>34</v>
      </c>
      <c r="K35" s="27"/>
    </row>
    <row r="36" spans="1:11" ht="30">
      <c r="A36" s="21">
        <v>33</v>
      </c>
      <c r="B36" s="22">
        <v>45796</v>
      </c>
      <c r="C36" s="23" t="s">
        <v>72</v>
      </c>
      <c r="D36" s="23" t="s">
        <v>12</v>
      </c>
      <c r="E36" s="24" t="str" cm="1">
        <f t="array" ref="E36">IF(LENB(D36) = 0,"", _xlfn.IFNA(INDEX(Inv_Model_Names, MATCH(1, (Inv_Part_Num=D36)*1,  0)), ""))</f>
        <v>volvo VN series 97-14</v>
      </c>
      <c r="F36" s="21">
        <v>124</v>
      </c>
      <c r="G36" s="25" t="s">
        <v>13</v>
      </c>
      <c r="H36" s="26">
        <v>333</v>
      </c>
      <c r="I36" s="27" t="s">
        <v>73</v>
      </c>
      <c r="J36" s="27" t="s">
        <v>19</v>
      </c>
      <c r="K36" s="27"/>
    </row>
    <row r="37" spans="1:11" ht="30">
      <c r="A37" s="21">
        <v>34</v>
      </c>
      <c r="B37" s="22">
        <v>45796</v>
      </c>
      <c r="C37" s="23" t="s">
        <v>74</v>
      </c>
      <c r="D37" s="23" t="s">
        <v>45</v>
      </c>
      <c r="E37" s="24" t="str" cm="1">
        <f t="array" ref="E37">IF(LENB(D37) = 0,"", _xlfn.IFNA(INDEX(Inv_Model_Names, MATCH(1, (Inv_Part_Num=D37)*1,  0)), ""))</f>
        <v>FREIGHTLINER CASCADIA half conv. Cab 08-19 R</v>
      </c>
      <c r="F37" s="21">
        <v>103</v>
      </c>
      <c r="G37" s="25" t="s">
        <v>13</v>
      </c>
      <c r="H37" s="26">
        <v>2111</v>
      </c>
      <c r="I37" s="27"/>
      <c r="J37" s="27" t="s">
        <v>15</v>
      </c>
      <c r="K37" s="27"/>
    </row>
    <row r="38" spans="1:11" ht="30">
      <c r="A38" s="21">
        <v>35</v>
      </c>
      <c r="B38" s="22">
        <v>45796</v>
      </c>
      <c r="C38" s="23" t="s">
        <v>75</v>
      </c>
      <c r="D38" s="23" t="s">
        <v>76</v>
      </c>
      <c r="E38" s="24" t="str" cm="1">
        <f t="array" ref="E38">IF(LENB(D38) = 0,"", _xlfn.IFNA(INDEX(Inv_Model_Names, MATCH(1, (Inv_Part_Num=D38)*1,  0)), ""))</f>
        <v>Volvo VNL American Brand (Gardian)</v>
      </c>
      <c r="F38" s="21">
        <v>860</v>
      </c>
      <c r="G38" s="25" t="s">
        <v>13</v>
      </c>
      <c r="H38" s="26">
        <v>589</v>
      </c>
      <c r="I38" s="27"/>
      <c r="J38" s="27" t="s">
        <v>34</v>
      </c>
      <c r="K38" s="27"/>
    </row>
    <row r="39" spans="1:11" ht="30">
      <c r="A39" s="21">
        <v>36</v>
      </c>
      <c r="B39" s="22">
        <v>45796</v>
      </c>
      <c r="C39" s="23" t="s">
        <v>77</v>
      </c>
      <c r="D39" s="23" t="s">
        <v>12</v>
      </c>
      <c r="E39" s="24" t="str" cm="1">
        <f t="array" ref="E39">IF(LENB(D39) = 0,"", _xlfn.IFNA(INDEX(Inv_Model_Names, MATCH(1, (Inv_Part_Num=D39)*1,  0)), ""))</f>
        <v>volvo VN series 97-14</v>
      </c>
      <c r="F39" s="21">
        <v>608446</v>
      </c>
      <c r="G39" s="25" t="s">
        <v>13</v>
      </c>
      <c r="H39" s="26">
        <v>156</v>
      </c>
      <c r="I39" s="27"/>
      <c r="J39" s="27" t="s">
        <v>19</v>
      </c>
      <c r="K39" s="27"/>
    </row>
    <row r="40" spans="1:11" ht="30">
      <c r="A40" s="21">
        <v>37</v>
      </c>
      <c r="B40" s="22">
        <v>45796</v>
      </c>
      <c r="C40" s="23" t="s">
        <v>78</v>
      </c>
      <c r="D40" s="23" t="s">
        <v>23</v>
      </c>
      <c r="E40" s="24" t="str" cm="1">
        <f t="array" ref="E40">IF(LENB(D40) = 0,"", _xlfn.IFNA(INDEX(Inv_Model_Names, MATCH(1, (Inv_Part_Num=D40)*1,  0)), ""))</f>
        <v xml:space="preserve">FREIGHTLINER CASCADIA conv. Cab 17-22  </v>
      </c>
      <c r="F40" s="21">
        <v>45</v>
      </c>
      <c r="G40" s="25" t="s">
        <v>13</v>
      </c>
      <c r="H40" s="26">
        <v>321</v>
      </c>
      <c r="I40" s="27" t="s">
        <v>43</v>
      </c>
      <c r="J40" s="27" t="s">
        <v>15</v>
      </c>
      <c r="K40" s="27"/>
    </row>
    <row r="41" spans="1:11" ht="30">
      <c r="A41" s="21">
        <v>38</v>
      </c>
      <c r="B41" s="22">
        <v>45796</v>
      </c>
      <c r="C41" s="23" t="s">
        <v>30</v>
      </c>
      <c r="D41" s="23" t="s">
        <v>23</v>
      </c>
      <c r="E41" s="24" t="str" cm="1">
        <f t="array" ref="E41">IF(LENB(D41) = 0,"", _xlfn.IFNA(INDEX(Inv_Model_Names, MATCH(1, (Inv_Part_Num=D41)*1,  0)), ""))</f>
        <v xml:space="preserve">FREIGHTLINER CASCADIA conv. Cab 17-22  </v>
      </c>
      <c r="F41" s="21">
        <v>8582</v>
      </c>
      <c r="G41" s="25" t="s">
        <v>13</v>
      </c>
      <c r="H41" s="26">
        <v>123</v>
      </c>
      <c r="I41" s="27"/>
      <c r="J41" s="27" t="s">
        <v>15</v>
      </c>
      <c r="K41" s="27"/>
    </row>
    <row r="42" spans="1:11" ht="30">
      <c r="A42" s="21">
        <v>39</v>
      </c>
      <c r="B42" s="22">
        <v>45796</v>
      </c>
      <c r="C42" s="23" t="s">
        <v>79</v>
      </c>
      <c r="D42" s="23" t="s">
        <v>23</v>
      </c>
      <c r="E42" s="24" t="str" cm="1">
        <f t="array" ref="E42">IF(LENB(D42) = 0,"", _xlfn.IFNA(INDEX(Inv_Model_Names, MATCH(1, (Inv_Part_Num=D42)*1,  0)), ""))</f>
        <v xml:space="preserve">FREIGHTLINER CASCADIA conv. Cab 17-22  </v>
      </c>
      <c r="F42" s="21">
        <v>151</v>
      </c>
      <c r="G42" s="25" t="s">
        <v>13</v>
      </c>
      <c r="H42" s="26">
        <v>333</v>
      </c>
      <c r="I42" s="27"/>
      <c r="J42" s="27" t="s">
        <v>34</v>
      </c>
      <c r="K42" s="27"/>
    </row>
    <row r="43" spans="1:11" ht="90">
      <c r="A43" s="21">
        <v>40</v>
      </c>
      <c r="B43" s="22">
        <v>45796</v>
      </c>
      <c r="C43" s="23" t="s">
        <v>80</v>
      </c>
      <c r="D43" s="23" t="s">
        <v>64</v>
      </c>
      <c r="E43" s="24" t="str" cm="1">
        <f t="array" ref="E43">IF(LENB(D43) = 0,"", _xlfn.IFNA(INDEX(Inv_Model_Names, MATCH(1, (Inv_Part_Num=D43)*1,  0)), ""))</f>
        <v>REMOVED &amp; RE- INSTALLED</v>
      </c>
      <c r="F43" s="21">
        <v>2015</v>
      </c>
      <c r="G43" s="25" t="s">
        <v>81</v>
      </c>
      <c r="H43" s="26">
        <v>145</v>
      </c>
      <c r="I43" s="27"/>
      <c r="J43" s="27" t="s">
        <v>34</v>
      </c>
      <c r="K43" s="27" t="s">
        <v>82</v>
      </c>
    </row>
    <row r="44" spans="1:11" ht="30">
      <c r="A44" s="21">
        <v>41</v>
      </c>
      <c r="B44" s="22">
        <v>45797</v>
      </c>
      <c r="C44" s="23" t="s">
        <v>83</v>
      </c>
      <c r="D44" s="23" t="s">
        <v>12</v>
      </c>
      <c r="E44" s="24" t="str" cm="1">
        <f t="array" ref="E44">IF(LENB(D44) = 0,"", _xlfn.IFNA(INDEX(Inv_Model_Names, MATCH(1, (Inv_Part_Num=D44)*1,  0)), ""))</f>
        <v>volvo VN series 97-14</v>
      </c>
      <c r="F44" s="21">
        <v>2005</v>
      </c>
      <c r="G44" s="25" t="s">
        <v>13</v>
      </c>
      <c r="H44" s="26">
        <v>146</v>
      </c>
      <c r="I44" s="27"/>
      <c r="J44" s="27" t="s">
        <v>34</v>
      </c>
      <c r="K44" s="27"/>
    </row>
    <row r="45" spans="1:11" ht="30">
      <c r="A45" s="21">
        <v>42</v>
      </c>
      <c r="B45" s="22">
        <v>45797</v>
      </c>
      <c r="C45" s="23" t="s">
        <v>84</v>
      </c>
      <c r="D45" s="23" t="s">
        <v>85</v>
      </c>
      <c r="E45" s="24" t="str" cm="1">
        <f t="array" ref="E45">IF(LENB(D45) = 0,"", _xlfn.IFNA(INDEX(Inv_Model_Names, MATCH(1, (Inv_Part_Num=D45)*1,  0)), ""))</f>
        <v>Ford 250-550-2D and 2D/4D super cab  15-22</v>
      </c>
      <c r="F45" s="21">
        <v>2301</v>
      </c>
      <c r="G45" s="25" t="s">
        <v>13</v>
      </c>
      <c r="H45" s="26">
        <v>147</v>
      </c>
      <c r="I45" s="27" t="s">
        <v>26</v>
      </c>
      <c r="J45" s="27" t="s">
        <v>15</v>
      </c>
      <c r="K45" s="27" t="s">
        <v>86</v>
      </c>
    </row>
    <row r="46" spans="1:11" ht="30">
      <c r="A46" s="21">
        <v>43</v>
      </c>
      <c r="B46" s="22">
        <v>45797</v>
      </c>
      <c r="C46" s="23" t="s">
        <v>87</v>
      </c>
      <c r="D46" s="23" t="s">
        <v>88</v>
      </c>
      <c r="E46" s="24" t="str" cm="1">
        <f t="array" ref="E46">IF(LENB(D46) = 0,"", _xlfn.IFNA(INDEX(Inv_Model_Names, MATCH(1, (Inv_Part_Num=D46)*1,  0)), ""))</f>
        <v xml:space="preserve">kenworth t680 12-21/t880 conv. Cab </v>
      </c>
      <c r="F46" s="21">
        <v>115</v>
      </c>
      <c r="G46" s="25" t="s">
        <v>13</v>
      </c>
      <c r="H46" s="26">
        <v>248</v>
      </c>
      <c r="I46" s="27"/>
      <c r="J46" s="27" t="s">
        <v>15</v>
      </c>
      <c r="K46" s="27"/>
    </row>
    <row r="47" spans="1:11" ht="30">
      <c r="A47" s="21">
        <v>44</v>
      </c>
      <c r="B47" s="22">
        <v>45797</v>
      </c>
      <c r="C47" s="23" t="s">
        <v>89</v>
      </c>
      <c r="D47" s="23" t="s">
        <v>88</v>
      </c>
      <c r="E47" s="24" t="str" cm="1">
        <f t="array" ref="E47">IF(LENB(D47) = 0,"", _xlfn.IFNA(INDEX(Inv_Model_Names, MATCH(1, (Inv_Part_Num=D47)*1,  0)), ""))</f>
        <v xml:space="preserve">kenworth t680 12-21/t880 conv. Cab </v>
      </c>
      <c r="F47" s="21">
        <v>4525</v>
      </c>
      <c r="G47" s="25" t="s">
        <v>13</v>
      </c>
      <c r="H47" s="26" cm="1">
        <f t="array" ref="H47">_xlfn.IFNA(INDEX(PFC_Prices_Colum, MATCH(1, (PFC_Company_Name_Column=C47) * (PFC_Part_Numbers_Column=D47),  0)), 50)</f>
        <v>5556</v>
      </c>
      <c r="I47" s="27"/>
      <c r="J47" s="27" t="s">
        <v>34</v>
      </c>
      <c r="K47" s="27"/>
    </row>
    <row r="48" spans="1:11" ht="30">
      <c r="A48" s="21">
        <v>45</v>
      </c>
      <c r="B48" s="22">
        <v>45797</v>
      </c>
      <c r="C48" s="23" t="s">
        <v>90</v>
      </c>
      <c r="D48" s="23" t="s">
        <v>88</v>
      </c>
      <c r="E48" s="24" t="str" cm="1">
        <f t="array" ref="E48">IF(LENB(D48) = 0,"", _xlfn.IFNA(INDEX(Inv_Model_Names, MATCH(1, (Inv_Part_Num=D48)*1,  0)), ""))</f>
        <v xml:space="preserve">kenworth t680 12-21/t880 conv. Cab </v>
      </c>
      <c r="F48" s="21">
        <v>425</v>
      </c>
      <c r="G48" s="25" t="s">
        <v>25</v>
      </c>
      <c r="H48" s="26">
        <v>444</v>
      </c>
      <c r="I48" s="27" t="s">
        <v>91</v>
      </c>
      <c r="J48" s="27" t="s">
        <v>34</v>
      </c>
      <c r="K48" s="27" t="s">
        <v>92</v>
      </c>
    </row>
    <row r="49" spans="1:11" ht="30">
      <c r="A49" s="21">
        <v>45</v>
      </c>
      <c r="B49" s="22">
        <v>45797</v>
      </c>
      <c r="C49" s="8" t="s">
        <v>90</v>
      </c>
      <c r="D49" s="23" t="s">
        <v>12</v>
      </c>
      <c r="E49" s="24" t="str" cm="1">
        <f t="array" ref="E49">IF(LENB(D49) = 0,"", _xlfn.IFNA(INDEX(Inv_Model_Names, MATCH(1, (Inv_Part_Num=D49)*1,  0)), ""))</f>
        <v>volvo VN series 97-14</v>
      </c>
      <c r="F49" s="21">
        <v>337</v>
      </c>
      <c r="G49" s="25" t="s">
        <v>25</v>
      </c>
      <c r="H49" s="26">
        <v>555</v>
      </c>
      <c r="I49" s="27" t="s">
        <v>91</v>
      </c>
      <c r="J49" s="27" t="s">
        <v>34</v>
      </c>
      <c r="K49" s="27" t="s">
        <v>92</v>
      </c>
    </row>
    <row r="50" spans="1:11" ht="30">
      <c r="A50" s="21">
        <v>46</v>
      </c>
      <c r="B50" s="22">
        <v>45797</v>
      </c>
      <c r="C50" s="23" t="s">
        <v>93</v>
      </c>
      <c r="D50" s="23" t="s">
        <v>23</v>
      </c>
      <c r="E50" s="24" t="str" cm="1">
        <f t="array" ref="E50">IF(LENB(D50) = 0,"", _xlfn.IFNA(INDEX(Inv_Model_Names, MATCH(1, (Inv_Part_Num=D50)*1,  0)), ""))</f>
        <v xml:space="preserve">FREIGHTLINER CASCADIA conv. Cab 17-22  </v>
      </c>
      <c r="F50" s="21">
        <v>456</v>
      </c>
      <c r="G50" s="25" t="s">
        <v>25</v>
      </c>
      <c r="H50" s="26" cm="1">
        <f t="array" ref="H50">_xlfn.IFNA(INDEX(PFC_Prices_Colum, MATCH(1, (PFC_Company_Name_Column=C50) * (PFC_Part_Numbers_Column=D50),  0)), 50)</f>
        <v>7777</v>
      </c>
      <c r="I50" s="27"/>
      <c r="J50" s="27" t="s">
        <v>34</v>
      </c>
      <c r="K50" s="27" t="s">
        <v>94</v>
      </c>
    </row>
  </sheetData>
  <dataConsolidate/>
  <dataValidations count="5">
    <dataValidation type="list" allowBlank="1" showInputMessage="1" showErrorMessage="1" sqref="D2:D50" xr:uid="{A3F92F44-419F-448C-B686-F2587B7EBEB8}">
      <formula1>Inv_Part_Num</formula1>
    </dataValidation>
    <dataValidation type="list" allowBlank="1" showInputMessage="1" showErrorMessage="1" sqref="C2:C50" xr:uid="{54F50639-DCDB-4C97-A6C5-3B0143CBA3FB}">
      <formula1>Company_Names</formula1>
    </dataValidation>
    <dataValidation type="list" allowBlank="1" showInputMessage="1" showErrorMessage="1" sqref="G2:G50" xr:uid="{38019E82-B6B2-4006-B9F9-5C9D1C992A25}">
      <formula1>WorkBook_Descriptions</formula1>
    </dataValidation>
    <dataValidation type="list" allowBlank="1" showInputMessage="1" showErrorMessage="1" sqref="I2:I50" xr:uid="{CDDAE654-C9A3-4E23-807E-623A1D700D90}">
      <formula1>Payment_Types_Collection</formula1>
    </dataValidation>
    <dataValidation type="list" allowBlank="1" showInputMessage="1" showErrorMessage="1" sqref="J2:J50" xr:uid="{D0E3D5D3-AA2A-4B9F-B363-5C266214B6C2}">
      <formula1>Payment_Status_States</formula1>
    </dataValidation>
  </dataValidations>
  <pageMargins left="0.7" right="0.7" top="0.75" bottom="0.75" header="0.3" footer="0.3"/>
  <pageSetup scale="56" orientation="landscape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B97D-C90B-4E68-8CE0-3258B3ACED8F}">
  <sheetPr codeName="Sheet1">
    <pageSetUpPr fitToPage="1"/>
  </sheetPr>
  <dimension ref="A1:F29"/>
  <sheetViews>
    <sheetView showGridLines="0" zoomScale="130" zoomScaleNormal="130" workbookViewId="0">
      <selection activeCell="D33" sqref="D33"/>
    </sheetView>
  </sheetViews>
  <sheetFormatPr defaultRowHeight="15"/>
  <cols>
    <col min="1" max="1" width="26.140625" customWidth="1"/>
    <col min="2" max="2" width="25.28515625" customWidth="1"/>
    <col min="3" max="3" width="29.5703125" customWidth="1"/>
    <col min="4" max="4" width="32.85546875" customWidth="1"/>
    <col min="5" max="5" width="12" bestFit="1" customWidth="1"/>
    <col min="6" max="6" width="7.7109375" customWidth="1"/>
  </cols>
  <sheetData>
    <row r="1" spans="1:6" ht="31.5" customHeight="1">
      <c r="A1" s="51" t="s">
        <v>95</v>
      </c>
      <c r="B1" s="52"/>
      <c r="C1" s="51"/>
      <c r="D1" s="7">
        <v>5</v>
      </c>
      <c r="E1" s="37" t="s">
        <v>96</v>
      </c>
      <c r="F1" s="38">
        <v>10</v>
      </c>
    </row>
    <row r="2" spans="1:6" ht="16.5" customHeight="1">
      <c r="A2" s="46" t="s">
        <v>97</v>
      </c>
      <c r="B2" s="53" t="s">
        <v>98</v>
      </c>
      <c r="C2" s="53"/>
      <c r="D2" s="54">
        <v>45798.531828703701</v>
      </c>
      <c r="E2" s="45"/>
      <c r="F2" s="45"/>
    </row>
    <row r="3" spans="1:6" ht="16.5" customHeight="1">
      <c r="A3" s="47" t="s">
        <v>99</v>
      </c>
      <c r="B3" s="59" t="s">
        <v>100</v>
      </c>
      <c r="C3" s="59"/>
      <c r="D3" s="60"/>
      <c r="E3" s="45"/>
      <c r="F3" s="45"/>
    </row>
    <row r="4" spans="1:6" ht="15.75">
      <c r="A4" s="47" t="s">
        <v>101</v>
      </c>
      <c r="B4" s="61" t="s">
        <v>102</v>
      </c>
      <c r="C4" s="61"/>
      <c r="D4" s="60"/>
      <c r="E4" s="45"/>
      <c r="F4" s="45"/>
    </row>
    <row r="5" spans="1:6" ht="24.75" customHeight="1">
      <c r="A5" s="46" t="s">
        <v>103</v>
      </c>
      <c r="B5" s="53" t="s">
        <v>104</v>
      </c>
      <c r="C5" s="53"/>
      <c r="D5" s="60"/>
      <c r="E5" s="45"/>
      <c r="F5" s="45"/>
    </row>
    <row r="6" spans="1:6" ht="31.5">
      <c r="A6" s="62"/>
      <c r="B6" s="62"/>
      <c r="C6" s="62"/>
      <c r="D6" s="41" t="str">
        <f>VLOOKUP(Invoice_Selected_Invoice_Num, WorkBookTable[], 3)</f>
        <v>DIGNITY LOGISTICS</v>
      </c>
      <c r="E6" s="45"/>
      <c r="F6" s="45"/>
    </row>
    <row r="7" spans="1:6" ht="15.75">
      <c r="A7" s="50" t="s">
        <v>105</v>
      </c>
      <c r="B7" s="50"/>
      <c r="C7" s="45"/>
      <c r="D7" s="45"/>
      <c r="E7" s="45"/>
      <c r="F7" s="45"/>
    </row>
    <row r="8" spans="1:6">
      <c r="A8" s="62"/>
      <c r="B8" s="62"/>
      <c r="C8" s="62"/>
      <c r="D8" s="62"/>
      <c r="E8" s="45"/>
      <c r="F8" s="45"/>
    </row>
    <row r="9" spans="1:6">
      <c r="A9" s="62"/>
      <c r="B9" s="62"/>
      <c r="C9" s="62"/>
      <c r="D9" s="62"/>
      <c r="E9" s="45"/>
      <c r="F9" s="45"/>
    </row>
    <row r="11" spans="1:6" ht="19.5">
      <c r="A11" s="16" t="s">
        <v>106</v>
      </c>
      <c r="B11" s="16" t="s">
        <v>107</v>
      </c>
      <c r="C11" s="16" t="s">
        <v>6</v>
      </c>
      <c r="D11" s="17" t="s">
        <v>7</v>
      </c>
      <c r="E11" s="45"/>
      <c r="F11" s="45"/>
    </row>
    <row r="12" spans="1:6" ht="39">
      <c r="A12" s="16" t="s">
        <v>12</v>
      </c>
      <c r="B12" s="40" t="s">
        <v>108</v>
      </c>
      <c r="C12" s="18" t="s">
        <v>25</v>
      </c>
      <c r="D12" s="19">
        <v>55555</v>
      </c>
      <c r="E12" s="45"/>
      <c r="F12" s="45"/>
    </row>
    <row r="13" spans="1:6" ht="19.5">
      <c r="A13" s="48"/>
      <c r="B13" s="49" t="s">
        <v>109</v>
      </c>
      <c r="C13" s="18"/>
      <c r="D13" s="19"/>
      <c r="E13" s="45"/>
      <c r="F13" s="45"/>
    </row>
    <row r="14" spans="1:6" ht="19.5">
      <c r="A14" s="48"/>
      <c r="B14" s="49"/>
      <c r="C14" s="18"/>
      <c r="D14" s="19"/>
      <c r="E14" s="45"/>
      <c r="F14" s="45"/>
    </row>
    <row r="15" spans="1:6" ht="19.5">
      <c r="A15" s="48"/>
      <c r="B15" s="49"/>
      <c r="C15" s="18"/>
      <c r="D15" s="19"/>
      <c r="E15" s="45"/>
      <c r="F15" s="45"/>
    </row>
    <row r="16" spans="1:6" ht="19.5">
      <c r="A16" s="48"/>
      <c r="B16" s="49"/>
      <c r="C16" s="18"/>
      <c r="D16" s="19"/>
      <c r="E16" s="45"/>
      <c r="F16" s="45"/>
    </row>
    <row r="17" spans="1:4" ht="19.5">
      <c r="A17" s="48"/>
      <c r="B17" s="49"/>
      <c r="C17" s="18"/>
      <c r="D17" s="19"/>
    </row>
    <row r="18" spans="1:4" ht="19.5">
      <c r="A18" s="48"/>
      <c r="B18" s="49"/>
      <c r="C18" s="18"/>
      <c r="D18" s="19"/>
    </row>
    <row r="19" spans="1:4" ht="19.5">
      <c r="A19" s="48"/>
      <c r="B19" s="49"/>
      <c r="C19" s="18"/>
      <c r="D19" s="19"/>
    </row>
    <row r="20" spans="1:4" ht="19.5">
      <c r="A20" s="48"/>
      <c r="B20" s="49"/>
      <c r="C20" s="18"/>
      <c r="D20" s="19"/>
    </row>
    <row r="21" spans="1:4" ht="19.5">
      <c r="A21" s="48"/>
      <c r="B21" s="49"/>
      <c r="C21" s="18"/>
      <c r="D21" s="19"/>
    </row>
    <row r="22" spans="1:4" ht="19.5">
      <c r="A22" s="48"/>
      <c r="B22" s="49"/>
      <c r="C22" s="18"/>
      <c r="D22" s="19"/>
    </row>
    <row r="23" spans="1:4" ht="19.5">
      <c r="A23" s="48"/>
      <c r="B23" s="49"/>
      <c r="C23" s="18"/>
      <c r="D23" s="19"/>
    </row>
    <row r="24" spans="1:4" ht="19.5">
      <c r="A24" s="45"/>
      <c r="B24" s="45"/>
      <c r="C24" s="18" t="s">
        <v>110</v>
      </c>
      <c r="D24" s="39">
        <f>SUBTOTAL(109,InvoiceCreatorTable[Amount])</f>
        <v>55555</v>
      </c>
    </row>
    <row r="29" spans="1:4" ht="22.5" customHeight="1">
      <c r="A29" s="45"/>
      <c r="B29" s="45"/>
      <c r="C29" s="45"/>
      <c r="D29" s="45"/>
    </row>
  </sheetData>
  <mergeCells count="9">
    <mergeCell ref="A6:C6"/>
    <mergeCell ref="A7:B7"/>
    <mergeCell ref="A8:D9"/>
    <mergeCell ref="A1:C1"/>
    <mergeCell ref="B2:C2"/>
    <mergeCell ref="B3:C3"/>
    <mergeCell ref="B4:C4"/>
    <mergeCell ref="D2:D5"/>
    <mergeCell ref="B5:C5"/>
  </mergeCells>
  <dataValidations count="1">
    <dataValidation type="list" allowBlank="1" showInputMessage="1" showErrorMessage="1" sqref="D1" xr:uid="{16A9B98F-8D0C-4E4D-B9A1-32952711AEEE}">
      <formula1>WB_Invoice_Num</formula1>
    </dataValidation>
  </dataValidations>
  <hyperlinks>
    <hyperlink ref="A7:B7" r:id="rId1" display="Website: felipesemitruckautoglassinc.com" xr:uid="{4585AC10-DBF4-4445-B313-A5584968AF46}"/>
  </hyperlinks>
  <printOptions horizontalCentered="1"/>
  <pageMargins left="0" right="0" top="0" bottom="2" header="0.25" footer="0"/>
  <pageSetup paperSize="5" scale="94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utofill_Today_Button">
                <anchor moveWithCells="1">
                  <from>
                    <xdr:col>5</xdr:col>
                    <xdr:colOff>342900</xdr:colOff>
                    <xdr:row>1</xdr:row>
                    <xdr:rowOff>95250</xdr:rowOff>
                  </from>
                  <to>
                    <xdr:col>7</xdr:col>
                    <xdr:colOff>438150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Export_Invoice_To_PDF">
                <anchor moveWithCells="1" sizeWithCells="1">
                  <from>
                    <xdr:col>5</xdr:col>
                    <xdr:colOff>180975</xdr:colOff>
                    <xdr:row>22</xdr:row>
                    <xdr:rowOff>76200</xdr:rowOff>
                  </from>
                  <to>
                    <xdr:col>7</xdr:col>
                    <xdr:colOff>533400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Button 16">
              <controlPr defaultSize="0" print="0" autoFill="0" autoPict="0" macro="[0]!ThisWorkbook.AutoFillInvoice">
                <anchor moveWithCells="1" sizeWithCells="1">
                  <from>
                    <xdr:col>6</xdr:col>
                    <xdr:colOff>228600</xdr:colOff>
                    <xdr:row>0</xdr:row>
                    <xdr:rowOff>28575</xdr:rowOff>
                  </from>
                  <to>
                    <xdr:col>7</xdr:col>
                    <xdr:colOff>552450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8" name="Check Box 18">
              <controlPr defaultSize="0" autoFill="0" autoLine="0" autoPict="0">
                <anchor moveWithCells="1">
                  <from>
                    <xdr:col>7</xdr:col>
                    <xdr:colOff>600075</xdr:colOff>
                    <xdr:row>0</xdr:row>
                    <xdr:rowOff>47625</xdr:rowOff>
                  </from>
                  <to>
                    <xdr:col>12</xdr:col>
                    <xdr:colOff>323850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F1469-C0D4-463F-A123-03F267698F1C}">
  <sheetPr codeName="Sheet2"/>
  <dimension ref="A1:F282"/>
  <sheetViews>
    <sheetView topLeftCell="A276" workbookViewId="0">
      <selection activeCell="H91" sqref="H91"/>
    </sheetView>
  </sheetViews>
  <sheetFormatPr defaultRowHeight="15"/>
  <cols>
    <col min="1" max="1" width="27" style="1" customWidth="1"/>
    <col min="2" max="2" width="14.5703125" style="1" bestFit="1" customWidth="1"/>
    <col min="3" max="3" width="14.42578125" style="4" customWidth="1"/>
    <col min="4" max="4" width="35.28515625" customWidth="1"/>
    <col min="5" max="5" width="32.7109375" customWidth="1"/>
    <col min="6" max="6" width="48" customWidth="1"/>
  </cols>
  <sheetData>
    <row r="1" spans="1:6">
      <c r="A1" s="2" t="s">
        <v>111</v>
      </c>
      <c r="B1" s="3" t="s">
        <v>112</v>
      </c>
      <c r="C1" s="4" t="s">
        <v>113</v>
      </c>
      <c r="D1" s="45" t="s">
        <v>114</v>
      </c>
      <c r="E1" s="45" t="s">
        <v>115</v>
      </c>
      <c r="F1" s="45" t="s">
        <v>116</v>
      </c>
    </row>
    <row r="2" spans="1:6">
      <c r="A2" s="8" t="s">
        <v>117</v>
      </c>
      <c r="B2" s="9" t="s">
        <v>32</v>
      </c>
      <c r="C2" s="12">
        <v>333</v>
      </c>
      <c r="D2" s="10" t="str" cm="1">
        <f t="array" ref="D2">IF(LENB(B2) = 0, "", _xlfn.IFNA(INDEX(Inv_Model_Names, MATCH(1, (Inv_Part_Num=B2)*1,  0)), ""))</f>
        <v>FREIGHTLINER CASCADIA (LDWS &amp; RAIN SENEOR)</v>
      </c>
      <c r="E2" s="10"/>
      <c r="F2" s="11"/>
    </row>
    <row r="3" spans="1:6">
      <c r="A3" s="8" t="s">
        <v>117</v>
      </c>
      <c r="B3" s="9" t="s">
        <v>23</v>
      </c>
      <c r="C3" s="28">
        <v>223</v>
      </c>
      <c r="D3" s="10" t="str">
        <f t="array" ref="D3">IF(LENB(B3) = 0, "", _xlfn.IFNA(INDEX(Inv_Model_Names, MATCH(1, (Inv_Part_Num=B3)*1,  0)), ""))</f>
        <v xml:space="preserve">FREIGHTLINER CASCADIA conv. Cab 17-22  </v>
      </c>
      <c r="E3" s="10"/>
      <c r="F3" s="33"/>
    </row>
    <row r="4" spans="1:6">
      <c r="A4" s="8" t="s">
        <v>117</v>
      </c>
      <c r="B4" s="9" t="s">
        <v>12</v>
      </c>
      <c r="C4" s="28">
        <v>432</v>
      </c>
      <c r="D4" s="10" t="str">
        <f t="array" ref="D4">IF(LENB(B4) = 0, "", _xlfn.IFNA(INDEX(Inv_Model_Names, MATCH(1, (Inv_Part_Num=B4)*1,  0)), ""))</f>
        <v>volvo VN series 97-14</v>
      </c>
      <c r="E4" s="10"/>
      <c r="F4" s="34"/>
    </row>
    <row r="5" spans="1:6">
      <c r="A5" s="8" t="s">
        <v>117</v>
      </c>
      <c r="B5" s="9" t="s">
        <v>32</v>
      </c>
      <c r="C5" s="29">
        <v>212</v>
      </c>
      <c r="D5" s="10" t="str">
        <f t="array" ref="D5">IF(LENB(B5) = 0, "", _xlfn.IFNA(INDEX(Inv_Model_Names, MATCH(1, (Inv_Part_Num=B5)*1,  0)), ""))</f>
        <v>FREIGHTLINER CASCADIA (LDWS &amp; RAIN SENEOR)</v>
      </c>
      <c r="E5" s="10"/>
      <c r="F5" s="45"/>
    </row>
    <row r="6" spans="1:6">
      <c r="A6" s="8" t="s">
        <v>118</v>
      </c>
      <c r="B6" s="9" t="s">
        <v>32</v>
      </c>
      <c r="C6" s="12">
        <v>222</v>
      </c>
      <c r="D6" s="10" t="str" cm="1">
        <f t="array" ref="D6">IF(LENB(B6) = 0, "", _xlfn.IFNA(INDEX(Inv_Model_Names, MATCH(1, (Inv_Part_Num=B6)*1,  0)), ""))</f>
        <v>FREIGHTLINER CASCADIA (LDWS &amp; RAIN SENEOR)</v>
      </c>
      <c r="E6" s="10"/>
      <c r="F6" s="11"/>
    </row>
    <row r="7" spans="1:6">
      <c r="A7" s="8" t="s">
        <v>118</v>
      </c>
      <c r="B7" s="9" t="s">
        <v>12</v>
      </c>
      <c r="C7" s="12">
        <v>222</v>
      </c>
      <c r="D7" s="10" t="str" cm="1">
        <f t="array" ref="D7">IF(LENB(B7) = 0, "", _xlfn.IFNA(INDEX(Inv_Model_Names, MATCH(1, (Inv_Part_Num=B7)*1,  0)), ""))</f>
        <v>volvo VN series 97-14</v>
      </c>
      <c r="E7" s="10"/>
      <c r="F7" s="11"/>
    </row>
    <row r="8" spans="1:6">
      <c r="A8" s="8" t="s">
        <v>119</v>
      </c>
      <c r="B8" s="9" t="s">
        <v>32</v>
      </c>
      <c r="C8" s="29">
        <v>333</v>
      </c>
      <c r="D8" s="10" t="str">
        <f t="array" ref="D8">IF(LENB(B8) = 0, "", _xlfn.IFNA(INDEX(Inv_Model_Names, MATCH(1, (Inv_Part_Num=B8)*1,  0)), ""))</f>
        <v>FREIGHTLINER CASCADIA (LDWS &amp; RAIN SENEOR)</v>
      </c>
      <c r="E8" s="10"/>
      <c r="F8" s="45"/>
    </row>
    <row r="9" spans="1:6">
      <c r="A9" s="8" t="s">
        <v>119</v>
      </c>
      <c r="B9" s="9" t="s">
        <v>12</v>
      </c>
      <c r="C9" s="29">
        <v>333</v>
      </c>
      <c r="D9" s="10" t="str">
        <f t="array" ref="D9">IF(LENB(B9) = 0, "", _xlfn.IFNA(INDEX(Inv_Model_Names, MATCH(1, (Inv_Part_Num=B9)*1,  0)), ""))</f>
        <v>volvo VN series 97-14</v>
      </c>
      <c r="E9" s="10"/>
      <c r="F9" s="34"/>
    </row>
    <row r="10" spans="1:6">
      <c r="A10" s="8" t="s">
        <v>119</v>
      </c>
      <c r="B10" s="9" t="s">
        <v>45</v>
      </c>
      <c r="C10" s="29">
        <v>255</v>
      </c>
      <c r="D10" s="10" t="str">
        <f t="array" ref="D10">IF(LENB(B10) = 0, "", _xlfn.IFNA(INDEX(Inv_Model_Names, MATCH(1, (Inv_Part_Num=B10)*1,  0)), ""))</f>
        <v>FREIGHTLINER CASCADIA half conv. Cab 08-19 R</v>
      </c>
      <c r="E10" s="10"/>
      <c r="F10" s="45"/>
    </row>
    <row r="11" spans="1:6">
      <c r="A11" s="8" t="s">
        <v>119</v>
      </c>
      <c r="B11" s="9" t="s">
        <v>120</v>
      </c>
      <c r="C11" s="29">
        <v>124</v>
      </c>
      <c r="D11" s="10" t="str">
        <f t="array" ref="D11">IF(LENB(B11) = 0, "", _xlfn.IFNA(INDEX(Inv_Model_Names, MATCH(1, (Inv_Part_Num=B11)*1,  0)), ""))</f>
        <v>FREIGHTLINER CASCADIA half conv. Cab 08-20 L</v>
      </c>
      <c r="E11" s="10"/>
      <c r="F11" s="45"/>
    </row>
    <row r="12" spans="1:6">
      <c r="A12" s="8" t="s">
        <v>119</v>
      </c>
      <c r="B12" s="9" t="s">
        <v>23</v>
      </c>
      <c r="C12" s="29">
        <v>444</v>
      </c>
      <c r="D12" s="10" t="str">
        <f t="array" ref="D12">IF(LENB(B12) = 0, "", _xlfn.IFNA(INDEX(Inv_Model_Names, MATCH(1, (Inv_Part_Num=B12)*1,  0)), ""))</f>
        <v xml:space="preserve">FREIGHTLINER CASCADIA conv. Cab 17-22  </v>
      </c>
      <c r="E12" s="10"/>
      <c r="F12" s="45"/>
    </row>
    <row r="13" spans="1:6">
      <c r="A13" s="8" t="s">
        <v>119</v>
      </c>
      <c r="B13" s="9" t="s">
        <v>120</v>
      </c>
      <c r="C13" s="29">
        <v>333</v>
      </c>
      <c r="D13" s="10" t="str">
        <f t="array" ref="D13">IF(LENB(B13) = 0, "", _xlfn.IFNA(INDEX(Inv_Model_Names, MATCH(1, (Inv_Part_Num=B13)*1,  0)), ""))</f>
        <v>FREIGHTLINER CASCADIA half conv. Cab 08-20 L</v>
      </c>
      <c r="E13" s="10"/>
      <c r="F13" s="45"/>
    </row>
    <row r="14" spans="1:6">
      <c r="A14" s="8" t="s">
        <v>119</v>
      </c>
      <c r="B14" s="9" t="s">
        <v>32</v>
      </c>
      <c r="C14" s="29">
        <v>222</v>
      </c>
      <c r="D14" s="10" t="str">
        <f t="array" ref="D14">IF(LENB(B14) = 0, "", _xlfn.IFNA(INDEX(Inv_Model_Names, MATCH(1, (Inv_Part_Num=B14)*1,  0)), ""))</f>
        <v>FREIGHTLINER CASCADIA (LDWS &amp; RAIN SENEOR)</v>
      </c>
      <c r="E14" s="10"/>
      <c r="F14" s="45"/>
    </row>
    <row r="15" spans="1:6">
      <c r="A15" s="8" t="s">
        <v>119</v>
      </c>
      <c r="B15" s="9" t="s">
        <v>32</v>
      </c>
      <c r="C15" s="29">
        <v>222</v>
      </c>
      <c r="D15" s="10" t="str">
        <f t="array" ref="D15">IF(LENB(B15) = 0, "", _xlfn.IFNA(INDEX(Inv_Model_Names, MATCH(1, (Inv_Part_Num=B15)*1,  0)), ""))</f>
        <v>FREIGHTLINER CASCADIA (LDWS &amp; RAIN SENEOR)</v>
      </c>
      <c r="E15" s="10"/>
      <c r="F15" s="45"/>
    </row>
    <row r="16" spans="1:6">
      <c r="A16" s="8" t="s">
        <v>119</v>
      </c>
      <c r="B16" s="9" t="s">
        <v>121</v>
      </c>
      <c r="C16" s="29">
        <v>467</v>
      </c>
      <c r="D16" s="10" t="str">
        <f t="array" ref="D16">IF(LENB(B16) = 0, "", _xlfn.IFNA(INDEX(Inv_Model_Names, MATCH(1, (Inv_Part_Num=B16)*1,  0)), ""))</f>
        <v>Internaltional LT</v>
      </c>
      <c r="E16" s="10"/>
      <c r="F16" s="45"/>
    </row>
    <row r="17" spans="1:6">
      <c r="A17" s="8" t="s">
        <v>119</v>
      </c>
      <c r="B17" s="9" t="s">
        <v>36</v>
      </c>
      <c r="C17" s="29">
        <v>211</v>
      </c>
      <c r="D17" s="10" t="str">
        <f t="array" ref="D17">IF(LENB(B17) = 0, "", _xlfn.IFNA(INDEX(Inv_Model_Names, MATCH(1, (Inv_Part_Num=B17)*1,  0)), ""))</f>
        <v>FREIGHTLINER CASCADIA LDWS conv. Cab 17-22</v>
      </c>
      <c r="E17" s="10"/>
      <c r="F17" s="10"/>
    </row>
    <row r="18" spans="1:6">
      <c r="A18" s="8" t="s">
        <v>42</v>
      </c>
      <c r="B18" s="9" t="s">
        <v>23</v>
      </c>
      <c r="C18" s="29">
        <v>111</v>
      </c>
      <c r="D18" s="10" t="str">
        <f t="array" ref="D18">IF(LENB(B18) = 0, "", _xlfn.IFNA(INDEX(Inv_Model_Names, MATCH(1, (Inv_Part_Num=B18)*1,  0)), ""))</f>
        <v xml:space="preserve">FREIGHTLINER CASCADIA conv. Cab 17-22  </v>
      </c>
      <c r="E18" s="10"/>
      <c r="F18" s="45"/>
    </row>
    <row r="19" spans="1:6">
      <c r="A19" s="8" t="s">
        <v>122</v>
      </c>
      <c r="B19" s="9" t="s">
        <v>32</v>
      </c>
      <c r="C19" s="29">
        <v>234</v>
      </c>
      <c r="D19" s="10" t="str">
        <f t="array" ref="D19">IF(LENB(B19) = 0, "", _xlfn.IFNA(INDEX(Inv_Model_Names, MATCH(1, (Inv_Part_Num=B19)*1,  0)), ""))</f>
        <v>FREIGHTLINER CASCADIA (LDWS &amp; RAIN SENEOR)</v>
      </c>
      <c r="E19" s="10"/>
      <c r="F19" s="34"/>
    </row>
    <row r="20" spans="1:6">
      <c r="A20" s="8" t="s">
        <v>122</v>
      </c>
      <c r="B20" s="9" t="s">
        <v>121</v>
      </c>
      <c r="C20" s="29">
        <v>422</v>
      </c>
      <c r="D20" s="10" t="str">
        <f t="array" ref="D20">IF(LENB(B20) = 0, "", _xlfn.IFNA(INDEX(Inv_Model_Names, MATCH(1, (Inv_Part_Num=B20)*1,  0)), ""))</f>
        <v>Internaltional LT</v>
      </c>
      <c r="E20" s="10"/>
      <c r="F20" s="45"/>
    </row>
    <row r="21" spans="1:6">
      <c r="A21" s="8" t="s">
        <v>122</v>
      </c>
      <c r="B21" s="9" t="s">
        <v>23</v>
      </c>
      <c r="C21" s="29">
        <v>222</v>
      </c>
      <c r="D21" s="10" t="str">
        <f t="array" ref="D21">IF(LENB(B21) = 0, "", _xlfn.IFNA(INDEX(Inv_Model_Names, MATCH(1, (Inv_Part_Num=B21)*1,  0)), ""))</f>
        <v xml:space="preserve">FREIGHTLINER CASCADIA conv. Cab 17-22  </v>
      </c>
      <c r="E21" s="10"/>
      <c r="F21" s="35"/>
    </row>
    <row r="22" spans="1:6">
      <c r="A22" s="8" t="s">
        <v>122</v>
      </c>
      <c r="B22" s="9" t="s">
        <v>32</v>
      </c>
      <c r="C22" s="29">
        <v>3154</v>
      </c>
      <c r="D22" s="10" t="str">
        <f t="array" ref="D22">IF(LENB(B22) = 0, "", _xlfn.IFNA(INDEX(Inv_Model_Names, MATCH(1, (Inv_Part_Num=B22)*1,  0)), ""))</f>
        <v>FREIGHTLINER CASCADIA (LDWS &amp; RAIN SENEOR)</v>
      </c>
      <c r="E22" s="10"/>
      <c r="F22" s="45"/>
    </row>
    <row r="23" spans="1:6">
      <c r="A23" s="8" t="s">
        <v>122</v>
      </c>
      <c r="B23" s="9" t="s">
        <v>121</v>
      </c>
      <c r="C23" s="29">
        <v>4232</v>
      </c>
      <c r="D23" s="10" t="str">
        <f t="array" ref="D23">IF(LENB(B23) = 0, "", _xlfn.IFNA(INDEX(Inv_Model_Names, MATCH(1, (Inv_Part_Num=B23)*1,  0)), ""))</f>
        <v>Internaltional LT</v>
      </c>
      <c r="E23" s="10"/>
      <c r="F23" s="45"/>
    </row>
    <row r="24" spans="1:6">
      <c r="A24" s="8" t="s">
        <v>123</v>
      </c>
      <c r="B24" s="9" t="s">
        <v>124</v>
      </c>
      <c r="C24" s="29">
        <v>123</v>
      </c>
      <c r="D24" s="10" t="str">
        <f t="array" ref="D24">IF(LENB(B24) = 0, "", _xlfn.IFNA(INDEX(Inv_Model_Names, MATCH(1, (Inv_Part_Num=B24)*1,  0)), ""))</f>
        <v>FREIGHTLINER Century Class C112/120.122SD conv. Cab 96-18 R</v>
      </c>
      <c r="E24" s="10"/>
      <c r="F24" s="45"/>
    </row>
    <row r="25" spans="1:6">
      <c r="A25" s="8" t="s">
        <v>123</v>
      </c>
      <c r="B25" s="9" t="s">
        <v>125</v>
      </c>
      <c r="C25" s="29">
        <v>111</v>
      </c>
      <c r="D25" s="10" t="str">
        <f t="array" ref="D25">IF(LENB(B25) = 0, "", _xlfn.IFNA(INDEX(Inv_Model_Names, MATCH(1, (Inv_Part_Num=B25)*1,  0)), ""))</f>
        <v xml:space="preserve">RESTORED UPPER SEAL WITH URATHANE CAULKING </v>
      </c>
      <c r="E25" s="10"/>
      <c r="F25" s="45"/>
    </row>
    <row r="26" spans="1:6">
      <c r="A26" s="8" t="s">
        <v>123</v>
      </c>
      <c r="B26" s="9" t="s">
        <v>23</v>
      </c>
      <c r="C26" s="29">
        <v>222</v>
      </c>
      <c r="D26" s="10" t="str">
        <f t="array" ref="D26">IF(LENB(B26) = 0, "", _xlfn.IFNA(INDEX(Inv_Model_Names, MATCH(1, (Inv_Part_Num=B26)*1,  0)), ""))</f>
        <v xml:space="preserve">FREIGHTLINER CASCADIA conv. Cab 17-22  </v>
      </c>
      <c r="E26" s="10"/>
      <c r="F26" s="45"/>
    </row>
    <row r="27" spans="1:6">
      <c r="A27" s="8" t="s">
        <v>126</v>
      </c>
      <c r="B27" s="9" t="s">
        <v>32</v>
      </c>
      <c r="C27" s="29">
        <v>221</v>
      </c>
      <c r="D27" s="10" t="str">
        <f t="array" ref="D27">IF(LENB(B27) = 0, "", _xlfn.IFNA(INDEX(Inv_Model_Names, MATCH(1, (Inv_Part_Num=B27)*1,  0)), ""))</f>
        <v>FREIGHTLINER CASCADIA (LDWS &amp; RAIN SENEOR)</v>
      </c>
      <c r="E27" s="10"/>
      <c r="F27" s="45"/>
    </row>
    <row r="28" spans="1:6">
      <c r="A28" s="8" t="s">
        <v>126</v>
      </c>
      <c r="B28" s="9" t="s">
        <v>23</v>
      </c>
      <c r="C28" s="29">
        <v>444</v>
      </c>
      <c r="D28" s="10" t="str">
        <f t="array" ref="D28">IF(LENB(B28) = 0, "", _xlfn.IFNA(INDEX(Inv_Model_Names, MATCH(1, (Inv_Part_Num=B28)*1,  0)), ""))</f>
        <v xml:space="preserve">FREIGHTLINER CASCADIA conv. Cab 17-22  </v>
      </c>
      <c r="E28" s="10"/>
      <c r="F28" s="45"/>
    </row>
    <row r="29" spans="1:6">
      <c r="A29" s="8" t="s">
        <v>126</v>
      </c>
      <c r="B29" s="9" t="s">
        <v>127</v>
      </c>
      <c r="C29" s="29">
        <v>1257</v>
      </c>
      <c r="D29" s="10" t="str">
        <f t="array" ref="D29">IF(LENB(B29) = 0, "", _xlfn.IFNA(INDEX(Inv_Model_Names, MATCH(1, (Inv_Part_Num=B29)*1,  0)), ""))</f>
        <v/>
      </c>
      <c r="E29" s="10"/>
      <c r="F29" s="45"/>
    </row>
    <row r="30" spans="1:6">
      <c r="A30" s="8" t="s">
        <v>128</v>
      </c>
      <c r="B30" s="9" t="s">
        <v>45</v>
      </c>
      <c r="C30" s="29">
        <v>478</v>
      </c>
      <c r="D30" s="10" t="str">
        <f t="array" ref="D30">IF(LENB(B30) = 0, "", _xlfn.IFNA(INDEX(Inv_Model_Names, MATCH(1, (Inv_Part_Num=B30)*1,  0)), ""))</f>
        <v>FREIGHTLINER CASCADIA half conv. Cab 08-19 R</v>
      </c>
      <c r="E30" s="10"/>
      <c r="F30" s="31"/>
    </row>
    <row r="31" spans="1:6">
      <c r="A31" s="8" t="s">
        <v>128</v>
      </c>
      <c r="B31" s="9" t="s">
        <v>121</v>
      </c>
      <c r="C31" s="29">
        <v>169</v>
      </c>
      <c r="D31" s="10" t="str">
        <f t="array" ref="D31">IF(LENB(B31) = 0, "", _xlfn.IFNA(INDEX(Inv_Model_Names, MATCH(1, (Inv_Part_Num=B31)*1,  0)), ""))</f>
        <v>Internaltional LT</v>
      </c>
      <c r="E31" s="10"/>
      <c r="F31" s="45"/>
    </row>
    <row r="32" spans="1:6">
      <c r="A32" s="8" t="s">
        <v>128</v>
      </c>
      <c r="B32" s="9" t="s">
        <v>124</v>
      </c>
      <c r="C32" s="29">
        <v>333</v>
      </c>
      <c r="D32" s="10" t="str">
        <f t="array" ref="D32">IF(LENB(B32) = 0, "", _xlfn.IFNA(INDEX(Inv_Model_Names, MATCH(1, (Inv_Part_Num=B32)*1,  0)), ""))</f>
        <v>FREIGHTLINER Century Class C112/120.122SD conv. Cab 96-18 R</v>
      </c>
      <c r="E32" s="10"/>
      <c r="F32" s="35"/>
    </row>
    <row r="33" spans="1:6">
      <c r="A33" s="8" t="s">
        <v>128</v>
      </c>
      <c r="B33" s="9" t="s">
        <v>41</v>
      </c>
      <c r="C33" s="29">
        <v>333</v>
      </c>
      <c r="D33" s="10" t="str">
        <f t="array" ref="D33">IF(LENB(B33) = 0, "", _xlfn.IFNA(INDEX(Inv_Model_Names, MATCH(1, (Inv_Part_Num=B33)*1,  0)), ""))</f>
        <v>FREIGHTLINER corornado Century class conv. cab 96-18 L</v>
      </c>
      <c r="E33" s="10"/>
      <c r="F33" s="45"/>
    </row>
    <row r="34" spans="1:6">
      <c r="A34" s="8" t="s">
        <v>128</v>
      </c>
      <c r="B34" s="9" t="s">
        <v>23</v>
      </c>
      <c r="C34" s="29">
        <v>1245</v>
      </c>
      <c r="D34" s="10" t="str">
        <f t="array" ref="D34">IF(LENB(B34) = 0, "", _xlfn.IFNA(INDEX(Inv_Model_Names, MATCH(1, (Inv_Part_Num=B34)*1,  0)), ""))</f>
        <v xml:space="preserve">FREIGHTLINER CASCADIA conv. Cab 17-22  </v>
      </c>
      <c r="E34" s="10"/>
      <c r="F34" s="34"/>
    </row>
    <row r="35" spans="1:6">
      <c r="A35" s="8" t="s">
        <v>129</v>
      </c>
      <c r="B35" s="9" t="s">
        <v>121</v>
      </c>
      <c r="C35" s="29">
        <v>443</v>
      </c>
      <c r="D35" s="10" t="str">
        <f t="array" ref="D35">IF(LENB(B35) = 0, "", _xlfn.IFNA(INDEX(Inv_Model_Names, MATCH(1, (Inv_Part_Num=B35)*1,  0)), ""))</f>
        <v>Internaltional LT</v>
      </c>
      <c r="E35" s="10"/>
      <c r="F35" s="45"/>
    </row>
    <row r="36" spans="1:6">
      <c r="A36" s="8" t="s">
        <v>129</v>
      </c>
      <c r="B36" s="9" t="s">
        <v>12</v>
      </c>
      <c r="C36" s="29">
        <v>123</v>
      </c>
      <c r="D36" s="10" t="str">
        <f t="array" ref="D36">IF(LENB(B36) = 0, "", _xlfn.IFNA(INDEX(Inv_Model_Names, MATCH(1, (Inv_Part_Num=B36)*1,  0)), ""))</f>
        <v>volvo VN series 97-14</v>
      </c>
      <c r="E36" s="10"/>
      <c r="F36" s="45"/>
    </row>
    <row r="37" spans="1:6">
      <c r="A37" s="8" t="s">
        <v>129</v>
      </c>
      <c r="B37" s="9" t="s">
        <v>12</v>
      </c>
      <c r="C37" s="29">
        <v>123</v>
      </c>
      <c r="D37" s="10" t="str">
        <f t="array" ref="D37">IF(LENB(B37) = 0, "", _xlfn.IFNA(INDEX(Inv_Model_Names, MATCH(1, (Inv_Part_Num=B37)*1,  0)), ""))</f>
        <v>volvo VN series 97-14</v>
      </c>
      <c r="E37" s="10"/>
      <c r="F37" s="45"/>
    </row>
    <row r="38" spans="1:6">
      <c r="A38" s="8" t="s">
        <v>130</v>
      </c>
      <c r="B38" s="9" t="s">
        <v>12</v>
      </c>
      <c r="C38" s="29">
        <v>123</v>
      </c>
      <c r="D38" s="10" t="str">
        <f t="array" ref="D38">IF(LENB(B38) = 0, "", _xlfn.IFNA(INDEX(Inv_Model_Names, MATCH(1, (Inv_Part_Num=B38)*1,  0)), ""))</f>
        <v>volvo VN series 97-14</v>
      </c>
      <c r="E38" s="10"/>
      <c r="F38" s="34"/>
    </row>
    <row r="39" spans="1:6">
      <c r="A39" s="8" t="s">
        <v>131</v>
      </c>
      <c r="B39" s="9" t="s">
        <v>12</v>
      </c>
      <c r="C39" s="29">
        <v>323</v>
      </c>
      <c r="D39" s="10" t="str">
        <f t="array" ref="D39">IF(LENB(B39) = 0, "", _xlfn.IFNA(INDEX(Inv_Model_Names, MATCH(1, (Inv_Part_Num=B39)*1,  0)), ""))</f>
        <v>volvo VN series 97-14</v>
      </c>
      <c r="E39" s="10"/>
      <c r="F39" s="45"/>
    </row>
    <row r="40" spans="1:6">
      <c r="A40" s="8" t="s">
        <v>131</v>
      </c>
      <c r="B40" s="9" t="s">
        <v>32</v>
      </c>
      <c r="C40" s="29">
        <v>121</v>
      </c>
      <c r="D40" s="10" t="str">
        <f t="array" ref="D40">IF(LENB(B40) = 0, "", _xlfn.IFNA(INDEX(Inv_Model_Names, MATCH(1, (Inv_Part_Num=B40)*1,  0)), ""))</f>
        <v>FREIGHTLINER CASCADIA (LDWS &amp; RAIN SENEOR)</v>
      </c>
      <c r="E40" s="10"/>
      <c r="F40" s="34"/>
    </row>
    <row r="41" spans="1:6">
      <c r="A41" s="8" t="s">
        <v>132</v>
      </c>
      <c r="B41" s="9" t="s">
        <v>32</v>
      </c>
      <c r="C41" s="29">
        <v>12</v>
      </c>
      <c r="D41" s="10" t="str">
        <f t="array" ref="D41">IF(LENB(B41) = 0, "", _xlfn.IFNA(INDEX(Inv_Model_Names, MATCH(1, (Inv_Part_Num=B41)*1,  0)), ""))</f>
        <v>FREIGHTLINER CASCADIA (LDWS &amp; RAIN SENEOR)</v>
      </c>
      <c r="E41" s="10"/>
      <c r="F41" s="45"/>
    </row>
    <row r="42" spans="1:6">
      <c r="A42" s="8" t="s">
        <v>133</v>
      </c>
      <c r="B42" s="9" t="s">
        <v>134</v>
      </c>
      <c r="C42" s="29">
        <v>11</v>
      </c>
      <c r="D42" s="10" t="str">
        <f t="array" ref="D42">IF(LENB(B42) = 0, "", _xlfn.IFNA(INDEX(Inv_Model_Names, MATCH(1, (Inv_Part_Num=B42)*1,  0)), ""))</f>
        <v/>
      </c>
      <c r="E42" s="10"/>
      <c r="F42" s="34"/>
    </row>
    <row r="43" spans="1:6">
      <c r="A43" s="8" t="s">
        <v>135</v>
      </c>
      <c r="B43" s="9" t="s">
        <v>127</v>
      </c>
      <c r="C43" s="29">
        <v>10</v>
      </c>
      <c r="D43" s="10" t="str">
        <f t="array" ref="D43">IF(LENB(B43) = 0, "", _xlfn.IFNA(INDEX(Inv_Model_Names, MATCH(1, (Inv_Part_Num=B43)*1,  0)), ""))</f>
        <v/>
      </c>
      <c r="E43" s="10"/>
      <c r="F43" s="45"/>
    </row>
    <row r="44" spans="1:6">
      <c r="A44" s="8" t="s">
        <v>135</v>
      </c>
      <c r="B44" s="9" t="s">
        <v>23</v>
      </c>
      <c r="C44" s="29">
        <v>123</v>
      </c>
      <c r="D44" s="10" t="str">
        <f t="array" ref="D44">IF(LENB(B44) = 0, "", _xlfn.IFNA(INDEX(Inv_Model_Names, MATCH(1, (Inv_Part_Num=B44)*1,  0)), ""))</f>
        <v xml:space="preserve">FREIGHTLINER CASCADIA conv. Cab 17-22  </v>
      </c>
      <c r="E44" s="10"/>
      <c r="F44" s="45"/>
    </row>
    <row r="45" spans="1:6">
      <c r="A45" s="8" t="s">
        <v>136</v>
      </c>
      <c r="B45" s="9" t="s">
        <v>23</v>
      </c>
      <c r="C45" s="29">
        <v>432</v>
      </c>
      <c r="D45" s="10" t="str">
        <f t="array" ref="D45">IF(LENB(B45) = 0, "", _xlfn.IFNA(INDEX(Inv_Model_Names, MATCH(1, (Inv_Part_Num=B45)*1,  0)), ""))</f>
        <v xml:space="preserve">FREIGHTLINER CASCADIA conv. Cab 17-22  </v>
      </c>
      <c r="E45" s="10"/>
      <c r="F45" s="45"/>
    </row>
    <row r="46" spans="1:6">
      <c r="A46" s="8" t="s">
        <v>136</v>
      </c>
      <c r="B46" s="9" t="s">
        <v>137</v>
      </c>
      <c r="C46" s="29">
        <v>211</v>
      </c>
      <c r="D46" s="10" t="str">
        <f t="array" ref="D46">IF(LENB(B46) = 0, "", _xlfn.IFNA(INDEX(Inv_Model_Names, MATCH(1, (Inv_Part_Num=B46)*1,  0)), ""))</f>
        <v>FREIGHTLINER M2 Business Class 4D conv. Cab+ext cab 03</v>
      </c>
      <c r="E46" s="10"/>
      <c r="F46" s="45"/>
    </row>
    <row r="47" spans="1:6">
      <c r="A47" s="8" t="s">
        <v>136</v>
      </c>
      <c r="B47" s="9" t="s">
        <v>12</v>
      </c>
      <c r="C47" s="29">
        <v>156</v>
      </c>
      <c r="D47" s="10" t="str">
        <f t="array" ref="D47">IF(LENB(B47) = 0, "", _xlfn.IFNA(INDEX(Inv_Model_Names, MATCH(1, (Inv_Part_Num=B47)*1,  0)), ""))</f>
        <v>volvo VN series 97-14</v>
      </c>
      <c r="E47" s="10"/>
      <c r="F47" s="34"/>
    </row>
    <row r="48" spans="1:6">
      <c r="A48" s="8" t="s">
        <v>136</v>
      </c>
      <c r="B48" s="9" t="s">
        <v>32</v>
      </c>
      <c r="C48" s="29">
        <v>543</v>
      </c>
      <c r="D48" s="10" t="str">
        <f t="array" ref="D48">IF(LENB(B48) = 0, "", _xlfn.IFNA(INDEX(Inv_Model_Names, MATCH(1, (Inv_Part_Num=B48)*1,  0)), ""))</f>
        <v>FREIGHTLINER CASCADIA (LDWS &amp; RAIN SENEOR)</v>
      </c>
      <c r="E48" s="10"/>
      <c r="F48" s="34"/>
    </row>
    <row r="49" spans="1:6">
      <c r="A49" s="8" t="s">
        <v>136</v>
      </c>
      <c r="B49" s="9" t="s">
        <v>120</v>
      </c>
      <c r="C49" s="29">
        <v>1234</v>
      </c>
      <c r="D49" s="10" t="str">
        <f t="array" ref="D49">IF(LENB(B49) = 0, "", _xlfn.IFNA(INDEX(Inv_Model_Names, MATCH(1, (Inv_Part_Num=B49)*1,  0)), ""))</f>
        <v>FREIGHTLINER CASCADIA half conv. Cab 08-20 L</v>
      </c>
      <c r="E49" s="10"/>
      <c r="F49" s="45"/>
    </row>
    <row r="50" spans="1:6">
      <c r="A50" s="8" t="s">
        <v>136</v>
      </c>
      <c r="B50" s="9" t="s">
        <v>125</v>
      </c>
      <c r="C50" s="29">
        <v>534</v>
      </c>
      <c r="D50" s="10" t="str">
        <f t="array" ref="D50">IF(LENB(B50) = 0, "", _xlfn.IFNA(INDEX(Inv_Model_Names, MATCH(1, (Inv_Part_Num=B50)*1,  0)), ""))</f>
        <v xml:space="preserve">RESTORED UPPER SEAL WITH URATHANE CAULKING </v>
      </c>
      <c r="E50" s="10"/>
      <c r="F50" s="45"/>
    </row>
    <row r="51" spans="1:6">
      <c r="A51" s="8" t="s">
        <v>136</v>
      </c>
      <c r="B51" s="9" t="s">
        <v>138</v>
      </c>
      <c r="C51" s="29">
        <v>2423</v>
      </c>
      <c r="D51" s="10" t="str">
        <f t="array" ref="D51">IF(LENB(B51) = 0, "", _xlfn.IFNA(INDEX(Inv_Model_Names, MATCH(1, (Inv_Part_Num=B51)*1,  0)), ""))</f>
        <v/>
      </c>
      <c r="E51" s="10"/>
      <c r="F51" s="45"/>
    </row>
    <row r="52" spans="1:6">
      <c r="A52" s="8" t="s">
        <v>136</v>
      </c>
      <c r="B52" s="9" t="s">
        <v>139</v>
      </c>
      <c r="C52" s="29">
        <v>111</v>
      </c>
      <c r="D52" s="10" t="str">
        <f t="array" ref="D52">IF(LENB(B52) = 0, "", _xlfn.IFNA(INDEX(Inv_Model_Names, MATCH(1, (Inv_Part_Num=B52)*1,  0)), ""))</f>
        <v/>
      </c>
      <c r="E52" s="10"/>
      <c r="F52" s="34"/>
    </row>
    <row r="53" spans="1:6">
      <c r="A53" s="8" t="s">
        <v>140</v>
      </c>
      <c r="B53" s="9" t="s">
        <v>23</v>
      </c>
      <c r="C53" s="29">
        <v>2345</v>
      </c>
      <c r="D53" s="10" t="str">
        <f t="array" ref="D53">IF(LENB(B53) = 0, "", _xlfn.IFNA(INDEX(Inv_Model_Names, MATCH(1, (Inv_Part_Num=B53)*1,  0)), ""))</f>
        <v xml:space="preserve">FREIGHTLINER CASCADIA conv. Cab 17-22  </v>
      </c>
      <c r="E53" s="10"/>
      <c r="F53" s="45"/>
    </row>
    <row r="54" spans="1:6">
      <c r="A54" s="8" t="s">
        <v>141</v>
      </c>
      <c r="B54" s="9" t="s">
        <v>23</v>
      </c>
      <c r="C54" s="29">
        <v>223</v>
      </c>
      <c r="D54" s="10" t="str">
        <f t="array" ref="D54">IF(LENB(B54) = 0, "", _xlfn.IFNA(INDEX(Inv_Model_Names, MATCH(1, (Inv_Part_Num=B54)*1,  0)), ""))</f>
        <v xml:space="preserve">FREIGHTLINER CASCADIA conv. Cab 17-22  </v>
      </c>
      <c r="E54" s="10"/>
      <c r="F54" s="45"/>
    </row>
    <row r="55" spans="1:6">
      <c r="A55" s="8" t="s">
        <v>141</v>
      </c>
      <c r="B55" s="9" t="s">
        <v>12</v>
      </c>
      <c r="C55" s="29">
        <v>568</v>
      </c>
      <c r="D55" s="10" t="str">
        <f t="array" ref="D55">IF(LENB(B55) = 0, "", _xlfn.IFNA(INDEX(Inv_Model_Names, MATCH(1, (Inv_Part_Num=B55)*1,  0)), ""))</f>
        <v>volvo VN series 97-14</v>
      </c>
      <c r="E55" s="10"/>
      <c r="F55" s="45"/>
    </row>
    <row r="56" spans="1:6">
      <c r="A56" s="8" t="s">
        <v>141</v>
      </c>
      <c r="B56" s="9" t="s">
        <v>88</v>
      </c>
      <c r="C56" s="29">
        <v>443</v>
      </c>
      <c r="D56" s="10" t="str">
        <f t="array" ref="D56">IF(LENB(B56) = 0, "", _xlfn.IFNA(INDEX(Inv_Model_Names, MATCH(1, (Inv_Part_Num=B56)*1,  0)), ""))</f>
        <v xml:space="preserve">kenworth t680 12-21/t880 conv. Cab </v>
      </c>
      <c r="E56" s="10"/>
      <c r="F56" s="45"/>
    </row>
    <row r="57" spans="1:6">
      <c r="A57" s="8" t="s">
        <v>141</v>
      </c>
      <c r="B57" s="9" t="s">
        <v>120</v>
      </c>
      <c r="C57" s="29">
        <v>2111</v>
      </c>
      <c r="D57" s="10" t="str">
        <f t="array" ref="D57">IF(LENB(B57) = 0, "", _xlfn.IFNA(INDEX(Inv_Model_Names, MATCH(1, (Inv_Part_Num=B57)*1,  0)), ""))</f>
        <v>FREIGHTLINER CASCADIA half conv. Cab 08-20 L</v>
      </c>
      <c r="E57" s="10"/>
      <c r="F57" s="45"/>
    </row>
    <row r="58" spans="1:6">
      <c r="A58" s="8" t="s">
        <v>141</v>
      </c>
      <c r="B58" s="9" t="s">
        <v>121</v>
      </c>
      <c r="C58" s="29">
        <v>156</v>
      </c>
      <c r="D58" s="10" t="str">
        <f t="array" ref="D58">IF(LENB(B58) = 0, "", _xlfn.IFNA(INDEX(Inv_Model_Names, MATCH(1, (Inv_Part_Num=B58)*1,  0)), ""))</f>
        <v>Internaltional LT</v>
      </c>
      <c r="E58" s="10"/>
      <c r="F58" s="34"/>
    </row>
    <row r="59" spans="1:6">
      <c r="A59" s="8" t="s">
        <v>142</v>
      </c>
      <c r="B59" s="9" t="s">
        <v>23</v>
      </c>
      <c r="C59" s="29">
        <v>422</v>
      </c>
      <c r="D59" s="10" t="str">
        <f t="array" ref="D59">IF(LENB(B59) = 0, "", _xlfn.IFNA(INDEX(Inv_Model_Names, MATCH(1, (Inv_Part_Num=B59)*1,  0)), ""))</f>
        <v xml:space="preserve">FREIGHTLINER CASCADIA conv. Cab 17-22  </v>
      </c>
      <c r="E59" s="10"/>
      <c r="F59" s="45"/>
    </row>
    <row r="60" spans="1:6">
      <c r="A60" s="8" t="s">
        <v>142</v>
      </c>
      <c r="B60" s="9" t="s">
        <v>12</v>
      </c>
      <c r="C60" s="29">
        <v>1254</v>
      </c>
      <c r="D60" s="10" t="str">
        <f t="array" ref="D60">IF(LENB(B60) = 0, "", _xlfn.IFNA(INDEX(Inv_Model_Names, MATCH(1, (Inv_Part_Num=B60)*1,  0)), ""))</f>
        <v>volvo VN series 97-14</v>
      </c>
      <c r="E60" s="10"/>
      <c r="F60" s="45"/>
    </row>
    <row r="61" spans="1:6">
      <c r="A61" s="8" t="s">
        <v>143</v>
      </c>
      <c r="B61" s="9" t="s">
        <v>36</v>
      </c>
      <c r="C61" s="29">
        <v>436</v>
      </c>
      <c r="D61" s="10" t="str">
        <f t="array" ref="D61">IF(LENB(B61) = 0, "", _xlfn.IFNA(INDEX(Inv_Model_Names, MATCH(1, (Inv_Part_Num=B61)*1,  0)), ""))</f>
        <v>FREIGHTLINER CASCADIA LDWS conv. Cab 17-22</v>
      </c>
      <c r="E61" s="10"/>
      <c r="F61" s="34"/>
    </row>
    <row r="62" spans="1:6">
      <c r="A62" s="8" t="s">
        <v>144</v>
      </c>
      <c r="B62" s="9" t="s">
        <v>23</v>
      </c>
      <c r="C62" s="30">
        <v>442</v>
      </c>
      <c r="D62" s="10" t="str">
        <f t="array" ref="D62">IF(LENB(B62) = 0, "", _xlfn.IFNA(INDEX(Inv_Model_Names, MATCH(1, (Inv_Part_Num=B62)*1,  0)), ""))</f>
        <v xml:space="preserve">FREIGHTLINER CASCADIA conv. Cab 17-22  </v>
      </c>
      <c r="E62" s="10"/>
      <c r="F62" s="34"/>
    </row>
    <row r="63" spans="1:6">
      <c r="A63" s="8" t="s">
        <v>144</v>
      </c>
      <c r="B63" s="9" t="s">
        <v>121</v>
      </c>
      <c r="C63" s="29">
        <v>222</v>
      </c>
      <c r="D63" s="10" t="str">
        <f t="array" ref="D63">IF(LENB(B63) = 0, "", _xlfn.IFNA(INDEX(Inv_Model_Names, MATCH(1, (Inv_Part_Num=B63)*1,  0)), ""))</f>
        <v>Internaltional LT</v>
      </c>
      <c r="E63" s="10"/>
      <c r="F63" s="45"/>
    </row>
    <row r="64" spans="1:6">
      <c r="A64" s="8" t="s">
        <v>144</v>
      </c>
      <c r="B64" s="9" t="s">
        <v>145</v>
      </c>
      <c r="C64" s="29">
        <v>222</v>
      </c>
      <c r="D64" s="10" t="str">
        <f t="array" ref="D64">IF(LENB(B64) = 0, "", _xlfn.IFNA(INDEX(Inv_Model_Names, MATCH(1, (Inv_Part_Num=B64)*1,  0)), ""))</f>
        <v>Western star conv. Cab glue in 01-16 R</v>
      </c>
      <c r="E64" s="10"/>
      <c r="F64" s="45"/>
    </row>
    <row r="65" spans="1:6">
      <c r="A65" s="8" t="s">
        <v>144</v>
      </c>
      <c r="B65" s="9" t="s">
        <v>12</v>
      </c>
      <c r="C65" s="29">
        <v>121</v>
      </c>
      <c r="D65" s="10" t="str">
        <f t="array" ref="D65">IF(LENB(B65) = 0, "", _xlfn.IFNA(INDEX(Inv_Model_Names, MATCH(1, (Inv_Part_Num=B65)*1,  0)), ""))</f>
        <v>volvo VN series 97-14</v>
      </c>
      <c r="E65" s="10"/>
      <c r="F65" s="45"/>
    </row>
    <row r="66" spans="1:6">
      <c r="A66" s="8" t="s">
        <v>144</v>
      </c>
      <c r="B66" s="9" t="s">
        <v>45</v>
      </c>
      <c r="C66" s="29">
        <v>1689</v>
      </c>
      <c r="D66" s="10" t="str">
        <f t="array" ref="D66">IF(LENB(B66) = 0, "", _xlfn.IFNA(INDEX(Inv_Model_Names, MATCH(1, (Inv_Part_Num=B66)*1,  0)), ""))</f>
        <v>FREIGHTLINER CASCADIA half conv. Cab 08-19 R</v>
      </c>
      <c r="E66" s="10"/>
      <c r="F66" s="45"/>
    </row>
    <row r="67" spans="1:6">
      <c r="A67" s="8" t="s">
        <v>144</v>
      </c>
      <c r="B67" s="9" t="s">
        <v>88</v>
      </c>
      <c r="C67" s="29">
        <v>467</v>
      </c>
      <c r="D67" s="10" t="str">
        <f t="array" ref="D67">IF(LENB(B67) = 0, "", _xlfn.IFNA(INDEX(Inv_Model_Names, MATCH(1, (Inv_Part_Num=B67)*1,  0)), ""))</f>
        <v xml:space="preserve">kenworth t680 12-21/t880 conv. Cab </v>
      </c>
      <c r="E67" s="10"/>
      <c r="F67" s="45"/>
    </row>
    <row r="68" spans="1:6">
      <c r="A68" s="8" t="s">
        <v>146</v>
      </c>
      <c r="B68" s="9" t="s">
        <v>88</v>
      </c>
      <c r="C68" s="29">
        <v>222</v>
      </c>
      <c r="D68" s="10" t="str">
        <f t="array" ref="D68">IF(LENB(B68) = 0, "", _xlfn.IFNA(INDEX(Inv_Model_Names, MATCH(1, (Inv_Part_Num=B68)*1,  0)), ""))</f>
        <v xml:space="preserve">kenworth t680 12-21/t880 conv. Cab </v>
      </c>
      <c r="E68" s="10"/>
      <c r="F68" s="34"/>
    </row>
    <row r="69" spans="1:6">
      <c r="A69" s="8" t="s">
        <v>146</v>
      </c>
      <c r="B69" s="9" t="s">
        <v>23</v>
      </c>
      <c r="C69" s="29">
        <v>124</v>
      </c>
      <c r="D69" s="10" t="str">
        <f t="array" ref="D69">IF(LENB(B69) = 0, "", _xlfn.IFNA(INDEX(Inv_Model_Names, MATCH(1, (Inv_Part_Num=B69)*1,  0)), ""))</f>
        <v xml:space="preserve">FREIGHTLINER CASCADIA conv. Cab 17-22  </v>
      </c>
      <c r="E69" s="10"/>
      <c r="F69" s="45"/>
    </row>
    <row r="70" spans="1:6">
      <c r="A70" s="8" t="s">
        <v>146</v>
      </c>
      <c r="B70" s="9" t="s">
        <v>12</v>
      </c>
      <c r="C70" s="29">
        <v>433</v>
      </c>
      <c r="D70" s="10" t="str">
        <f t="array" ref="D70">IF(LENB(B70) = 0, "", _xlfn.IFNA(INDEX(Inv_Model_Names, MATCH(1, (Inv_Part_Num=B70)*1,  0)), ""))</f>
        <v>volvo VN series 97-14</v>
      </c>
      <c r="E70" s="10"/>
      <c r="F70" s="34"/>
    </row>
    <row r="71" spans="1:6">
      <c r="A71" s="8" t="s">
        <v>147</v>
      </c>
      <c r="B71" s="9" t="s">
        <v>45</v>
      </c>
      <c r="C71" s="29">
        <v>233</v>
      </c>
      <c r="D71" s="10" t="str">
        <f t="array" ref="D71">IF(LENB(B71) = 0, "", _xlfn.IFNA(INDEX(Inv_Model_Names, MATCH(1, (Inv_Part_Num=B71)*1,  0)), ""))</f>
        <v>FREIGHTLINER CASCADIA half conv. Cab 08-19 R</v>
      </c>
      <c r="E71" s="10"/>
      <c r="F71" s="45"/>
    </row>
    <row r="72" spans="1:6">
      <c r="A72" s="8" t="s">
        <v>147</v>
      </c>
      <c r="B72" s="9" t="s">
        <v>12</v>
      </c>
      <c r="C72" s="29">
        <v>111</v>
      </c>
      <c r="D72" s="10" t="str">
        <f t="array" ref="D72">IF(LENB(B72) = 0, "", _xlfn.IFNA(INDEX(Inv_Model_Names, MATCH(1, (Inv_Part_Num=B72)*1,  0)), ""))</f>
        <v>volvo VN series 97-14</v>
      </c>
      <c r="E72" s="10"/>
      <c r="F72" s="45"/>
    </row>
    <row r="73" spans="1:6">
      <c r="A73" s="8" t="s">
        <v>147</v>
      </c>
      <c r="B73" s="9" t="s">
        <v>23</v>
      </c>
      <c r="C73" s="29">
        <v>989</v>
      </c>
      <c r="D73" s="10" t="str">
        <f t="array" ref="D73">IF(LENB(B73) = 0, "", _xlfn.IFNA(INDEX(Inv_Model_Names, MATCH(1, (Inv_Part_Num=B73)*1,  0)), ""))</f>
        <v xml:space="preserve">FREIGHTLINER CASCADIA conv. Cab 17-22  </v>
      </c>
      <c r="E73" s="10"/>
      <c r="F73" s="45"/>
    </row>
    <row r="74" spans="1:6">
      <c r="A74" s="8" t="s">
        <v>147</v>
      </c>
      <c r="B74" s="9" t="s">
        <v>88</v>
      </c>
      <c r="C74" s="29">
        <v>4321</v>
      </c>
      <c r="D74" s="10" t="str">
        <f t="array" ref="D74">IF(LENB(B74) = 0, "", _xlfn.IFNA(INDEX(Inv_Model_Names, MATCH(1, (Inv_Part_Num=B74)*1,  0)), ""))</f>
        <v xml:space="preserve">kenworth t680 12-21/t880 conv. Cab </v>
      </c>
      <c r="E74" s="10"/>
      <c r="F74" s="45"/>
    </row>
    <row r="75" spans="1:6">
      <c r="A75" s="8" t="s">
        <v>148</v>
      </c>
      <c r="B75" s="9" t="s">
        <v>149</v>
      </c>
      <c r="C75" s="29">
        <v>1111</v>
      </c>
      <c r="D75" s="10" t="str">
        <f t="array" ref="D75">IF(LENB(B75) = 0, "", _xlfn.IFNA(INDEX(Inv_Model_Names, MATCH(1, (Inv_Part_Num=B75)*1,  0)), ""))</f>
        <v>volvo heated VHD 10-17</v>
      </c>
      <c r="E75" s="10"/>
      <c r="F75" s="34"/>
    </row>
    <row r="76" spans="1:6">
      <c r="A76" s="8" t="s">
        <v>148</v>
      </c>
      <c r="B76" s="9" t="s">
        <v>12</v>
      </c>
      <c r="C76" s="29">
        <v>1111</v>
      </c>
      <c r="D76" s="10" t="str">
        <f t="array" ref="D76">IF(LENB(B76) = 0, "", _xlfn.IFNA(INDEX(Inv_Model_Names, MATCH(1, (Inv_Part_Num=B76)*1,  0)), ""))</f>
        <v>volvo VN series 97-14</v>
      </c>
      <c r="E76" s="10"/>
      <c r="F76" s="45"/>
    </row>
    <row r="77" spans="1:6">
      <c r="A77" s="8" t="s">
        <v>150</v>
      </c>
      <c r="B77" s="9" t="s">
        <v>120</v>
      </c>
      <c r="C77" s="29">
        <v>2222</v>
      </c>
      <c r="D77" s="10" t="str">
        <f t="array" ref="D77">IF(LENB(B77) = 0, "", _xlfn.IFNA(INDEX(Inv_Model_Names, MATCH(1, (Inv_Part_Num=B77)*1,  0)), ""))</f>
        <v>FREIGHTLINER CASCADIA half conv. Cab 08-20 L</v>
      </c>
      <c r="E77" s="10"/>
      <c r="F77" s="45"/>
    </row>
    <row r="78" spans="1:6">
      <c r="A78" s="8" t="s">
        <v>150</v>
      </c>
      <c r="B78" s="9" t="s">
        <v>23</v>
      </c>
      <c r="C78" s="29">
        <v>3333</v>
      </c>
      <c r="D78" s="10" t="str">
        <f t="array" ref="D78">IF(LENB(B78) = 0, "", _xlfn.IFNA(INDEX(Inv_Model_Names, MATCH(1, (Inv_Part_Num=B78)*1,  0)), ""))</f>
        <v xml:space="preserve">FREIGHTLINER CASCADIA conv. Cab 17-22  </v>
      </c>
      <c r="E78" s="10"/>
      <c r="F78" s="45"/>
    </row>
    <row r="79" spans="1:6">
      <c r="A79" s="8" t="s">
        <v>150</v>
      </c>
      <c r="B79" s="9" t="s">
        <v>88</v>
      </c>
      <c r="C79" s="29">
        <v>4444</v>
      </c>
      <c r="D79" s="10" t="str">
        <f t="array" ref="D79">IF(LENB(B79) = 0, "", _xlfn.IFNA(INDEX(Inv_Model_Names, MATCH(1, (Inv_Part_Num=B79)*1,  0)), ""))</f>
        <v xml:space="preserve">kenworth t680 12-21/t880 conv. Cab </v>
      </c>
      <c r="E79" s="10"/>
      <c r="F79" s="45"/>
    </row>
    <row r="80" spans="1:6">
      <c r="A80" s="8" t="s">
        <v>150</v>
      </c>
      <c r="B80" s="9" t="s">
        <v>12</v>
      </c>
      <c r="C80" s="29">
        <v>5555</v>
      </c>
      <c r="D80" s="10" t="str">
        <f t="array" ref="D80">IF(LENB(B80) = 0, "", _xlfn.IFNA(INDEX(Inv_Model_Names, MATCH(1, (Inv_Part_Num=B80)*1,  0)), ""))</f>
        <v>volvo VN series 97-14</v>
      </c>
      <c r="E80" s="10"/>
      <c r="F80" s="45"/>
    </row>
    <row r="81" spans="1:6">
      <c r="A81" s="8" t="s">
        <v>151</v>
      </c>
      <c r="B81" s="9" t="s">
        <v>23</v>
      </c>
      <c r="C81" s="29">
        <v>6666</v>
      </c>
      <c r="D81" s="10" t="str">
        <f t="array" ref="D81">IF(LENB(B81) = 0, "", _xlfn.IFNA(INDEX(Inv_Model_Names, MATCH(1, (Inv_Part_Num=B81)*1,  0)), ""))</f>
        <v xml:space="preserve">FREIGHTLINER CASCADIA conv. Cab 17-22  </v>
      </c>
      <c r="E81" s="10"/>
      <c r="F81" s="34"/>
    </row>
    <row r="82" spans="1:6">
      <c r="A82" s="8" t="s">
        <v>93</v>
      </c>
      <c r="B82" s="9" t="s">
        <v>23</v>
      </c>
      <c r="C82" s="29">
        <v>7777</v>
      </c>
      <c r="D82" s="10" t="str">
        <f t="array" ref="D82">IF(LENB(B82) = 0, "", _xlfn.IFNA(INDEX(Inv_Model_Names, MATCH(1, (Inv_Part_Num=B82)*1,  0)), ""))</f>
        <v xml:space="preserve">FREIGHTLINER CASCADIA conv. Cab 17-22  </v>
      </c>
      <c r="E82" s="10"/>
      <c r="F82" s="45"/>
    </row>
    <row r="83" spans="1:6">
      <c r="A83" s="8" t="s">
        <v>152</v>
      </c>
      <c r="B83" s="9" t="s">
        <v>12</v>
      </c>
      <c r="C83" s="12">
        <v>888</v>
      </c>
      <c r="D83" s="10" t="str">
        <f t="array" ref="D83">IF(LENB(B83) = 0, "", _xlfn.IFNA(INDEX(Inv_Model_Names, MATCH(1, (Inv_Part_Num=B83)*1,  0)), ""))</f>
        <v>volvo VN series 97-14</v>
      </c>
      <c r="E83" s="10"/>
      <c r="F83" s="11"/>
    </row>
    <row r="84" spans="1:6">
      <c r="A84" s="8" t="s">
        <v>153</v>
      </c>
      <c r="B84" s="9" t="s">
        <v>124</v>
      </c>
      <c r="C84" s="29">
        <v>999</v>
      </c>
      <c r="D84" s="10" t="str">
        <f t="array" ref="D84">IF(LENB(B84) = 0, "", _xlfn.IFNA(INDEX(Inv_Model_Names, MATCH(1, (Inv_Part_Num=B84)*1,  0)), ""))</f>
        <v>FREIGHTLINER Century Class C112/120.122SD conv. Cab 96-18 R</v>
      </c>
      <c r="E84" s="10"/>
      <c r="F84" s="34"/>
    </row>
    <row r="85" spans="1:6">
      <c r="A85" s="8" t="s">
        <v>154</v>
      </c>
      <c r="B85" s="9" t="s">
        <v>124</v>
      </c>
      <c r="C85" s="29">
        <v>10</v>
      </c>
      <c r="D85" s="10" t="str">
        <f t="array" ref="D85">IF(LENB(B85) = 0, "", _xlfn.IFNA(INDEX(Inv_Model_Names, MATCH(1, (Inv_Part_Num=B85)*1,  0)), ""))</f>
        <v>FREIGHTLINER Century Class C112/120.122SD conv. Cab 96-18 R</v>
      </c>
      <c r="E85" s="10"/>
      <c r="F85" s="45"/>
    </row>
    <row r="86" spans="1:6">
      <c r="A86" s="8" t="s">
        <v>155</v>
      </c>
      <c r="B86" s="9" t="s">
        <v>12</v>
      </c>
      <c r="C86" s="29">
        <v>121</v>
      </c>
      <c r="D86" s="10" t="str">
        <f t="array" ref="D86">IF(LENB(B86) = 0, "", _xlfn.IFNA(INDEX(Inv_Model_Names, MATCH(1, (Inv_Part_Num=B86)*1,  0)), ""))</f>
        <v>volvo VN series 97-14</v>
      </c>
      <c r="E86" s="10"/>
      <c r="F86" s="45"/>
    </row>
    <row r="87" spans="1:6">
      <c r="A87" s="8" t="s">
        <v>156</v>
      </c>
      <c r="B87" s="9" t="s">
        <v>32</v>
      </c>
      <c r="C87" s="29">
        <v>134</v>
      </c>
      <c r="D87" s="10" t="str">
        <f t="array" ref="D87">IF(LENB(B87) = 0, "", _xlfn.IFNA(INDEX(Inv_Model_Names, MATCH(1, (Inv_Part_Num=B87)*1,  0)), ""))</f>
        <v>FREIGHTLINER CASCADIA (LDWS &amp; RAIN SENEOR)</v>
      </c>
      <c r="E87" s="10"/>
      <c r="F87" s="45"/>
    </row>
    <row r="88" spans="1:6">
      <c r="A88" s="8" t="s">
        <v>157</v>
      </c>
      <c r="B88" s="9" t="s">
        <v>12</v>
      </c>
      <c r="C88" s="29">
        <v>423</v>
      </c>
      <c r="D88" s="10" t="str">
        <f t="array" ref="D88">IF(LENB(B88) = 0, "", _xlfn.IFNA(INDEX(Inv_Model_Names, MATCH(1, (Inv_Part_Num=B88)*1,  0)), ""))</f>
        <v>volvo VN series 97-14</v>
      </c>
      <c r="E88" s="10"/>
      <c r="F88" s="45"/>
    </row>
    <row r="89" spans="1:6">
      <c r="A89" s="8" t="s">
        <v>35</v>
      </c>
      <c r="B89" s="9" t="s">
        <v>12</v>
      </c>
      <c r="C89" s="29">
        <v>1222</v>
      </c>
      <c r="D89" s="10" t="str">
        <f t="array" ref="D89">IF(LENB(B89) = 0, "", _xlfn.IFNA(INDEX(Inv_Model_Names, MATCH(1, (Inv_Part_Num=B89)*1,  0)), ""))</f>
        <v>volvo VN series 97-14</v>
      </c>
      <c r="E89" s="10"/>
      <c r="F89" s="34"/>
    </row>
    <row r="90" spans="1:6">
      <c r="A90" s="8" t="s">
        <v>35</v>
      </c>
      <c r="B90" s="9" t="s">
        <v>36</v>
      </c>
      <c r="C90" s="29">
        <v>227</v>
      </c>
      <c r="D90" s="10" t="str" cm="1">
        <f t="array" ref="D90">IF(LENB(B90) = 0, "", _xlfn.IFNA(INDEX(Inv_Model_Names, MATCH(1, (Inv_Part_Num=B90)*1,  0)), ""))</f>
        <v>FREIGHTLINER CASCADIA LDWS conv. Cab 17-22</v>
      </c>
      <c r="E90" s="10"/>
      <c r="F90" s="45"/>
    </row>
    <row r="91" spans="1:6">
      <c r="A91" s="8" t="s">
        <v>35</v>
      </c>
      <c r="B91" s="9" t="s">
        <v>120</v>
      </c>
      <c r="C91" s="29">
        <v>336</v>
      </c>
      <c r="D91" s="10" t="str">
        <f t="array" ref="D91">IF(LENB(B91) = 0, "", _xlfn.IFNA(INDEX(Inv_Model_Names, MATCH(1, (Inv_Part_Num=B91)*1,  0)), ""))</f>
        <v>FREIGHTLINER CASCADIA half conv. Cab 08-20 L</v>
      </c>
      <c r="E91" s="10"/>
      <c r="F91" s="45"/>
    </row>
    <row r="92" spans="1:6">
      <c r="A92" s="8" t="s">
        <v>35</v>
      </c>
      <c r="B92" s="9" t="s">
        <v>158</v>
      </c>
      <c r="C92" s="29">
        <v>185</v>
      </c>
      <c r="D92" s="10" t="str">
        <f t="array" ref="D92">IF(LENB(B92) = 0, "", _xlfn.IFNA(INDEX(Inv_Model_Names, MATCH(1, (Inv_Part_Num=B92)*1,  0)), ""))</f>
        <v/>
      </c>
      <c r="E92" s="10"/>
      <c r="F92" s="34"/>
    </row>
    <row r="93" spans="1:6">
      <c r="A93" s="8" t="s">
        <v>89</v>
      </c>
      <c r="B93" s="9" t="s">
        <v>45</v>
      </c>
      <c r="C93" s="29">
        <v>147</v>
      </c>
      <c r="D93" s="10" t="str">
        <f t="array" ref="D93">IF(LENB(B93) = 0, "", _xlfn.IFNA(INDEX(Inv_Model_Names, MATCH(1, (Inv_Part_Num=B93)*1,  0)), ""))</f>
        <v>FREIGHTLINER CASCADIA half conv. Cab 08-19 R</v>
      </c>
      <c r="E93" s="10"/>
      <c r="F93" s="45"/>
    </row>
    <row r="94" spans="1:6">
      <c r="A94" s="8" t="s">
        <v>89</v>
      </c>
      <c r="B94" s="9" t="s">
        <v>12</v>
      </c>
      <c r="C94" s="29">
        <v>896</v>
      </c>
      <c r="D94" s="10" t="str">
        <f t="array" ref="D94">IF(LENB(B94) = 0, "", _xlfn.IFNA(INDEX(Inv_Model_Names, MATCH(1, (Inv_Part_Num=B94)*1,  0)), ""))</f>
        <v>volvo VN series 97-14</v>
      </c>
      <c r="E94" s="10"/>
      <c r="F94" s="45"/>
    </row>
    <row r="95" spans="1:6">
      <c r="A95" s="8" t="s">
        <v>89</v>
      </c>
      <c r="B95" s="9" t="s">
        <v>127</v>
      </c>
      <c r="C95" s="29">
        <v>444</v>
      </c>
      <c r="D95" s="10" t="str">
        <f t="array" ref="D95">IF(LENB(B95) = 0, "", _xlfn.IFNA(INDEX(Inv_Model_Names, MATCH(1, (Inv_Part_Num=B95)*1,  0)), ""))</f>
        <v/>
      </c>
      <c r="E95" s="10"/>
      <c r="F95" s="45"/>
    </row>
    <row r="96" spans="1:6">
      <c r="A96" s="8" t="s">
        <v>89</v>
      </c>
      <c r="B96" s="9" t="s">
        <v>88</v>
      </c>
      <c r="C96" s="29">
        <v>5556</v>
      </c>
      <c r="D96" s="10" t="str">
        <f t="array" ref="D96">IF(LENB(B96) = 0, "", _xlfn.IFNA(INDEX(Inv_Model_Names, MATCH(1, (Inv_Part_Num=B96)*1,  0)), ""))</f>
        <v xml:space="preserve">kenworth t680 12-21/t880 conv. Cab </v>
      </c>
      <c r="E96" s="10"/>
      <c r="F96" s="45"/>
    </row>
    <row r="97" spans="1:6">
      <c r="A97" s="8" t="s">
        <v>89</v>
      </c>
      <c r="B97" s="9" t="s">
        <v>32</v>
      </c>
      <c r="C97" s="29">
        <v>687</v>
      </c>
      <c r="D97" s="10" t="str">
        <f t="array" ref="D97">IF(LENB(B97) = 0, "", _xlfn.IFNA(INDEX(Inv_Model_Names, MATCH(1, (Inv_Part_Num=B97)*1,  0)), ""))</f>
        <v>FREIGHTLINER CASCADIA (LDWS &amp; RAIN SENEOR)</v>
      </c>
      <c r="E97" s="10"/>
      <c r="F97" s="45"/>
    </row>
    <row r="98" spans="1:6">
      <c r="A98" s="8" t="s">
        <v>89</v>
      </c>
      <c r="B98" s="9" t="s">
        <v>159</v>
      </c>
      <c r="C98" s="29">
        <v>268</v>
      </c>
      <c r="D98" s="10" t="str">
        <f t="array" ref="D98">IF(LENB(B98) = 0, "", _xlfn.IFNA(INDEX(Inv_Model_Names, MATCH(1, (Inv_Part_Num=B98)*1,  0)), ""))</f>
        <v/>
      </c>
      <c r="E98" s="10"/>
      <c r="F98" s="45"/>
    </row>
    <row r="99" spans="1:6">
      <c r="A99" s="8" t="s">
        <v>160</v>
      </c>
      <c r="B99" s="9" t="s">
        <v>32</v>
      </c>
      <c r="C99" s="29">
        <v>463</v>
      </c>
      <c r="D99" s="10" t="str">
        <f t="array" ref="D99">IF(LENB(B99) = 0, "", _xlfn.IFNA(INDEX(Inv_Model_Names, MATCH(1, (Inv_Part_Num=B99)*1,  0)), ""))</f>
        <v>FREIGHTLINER CASCADIA (LDWS &amp; RAIN SENEOR)</v>
      </c>
      <c r="E99" s="10"/>
      <c r="F99" s="45"/>
    </row>
    <row r="100" spans="1:6">
      <c r="A100" s="8" t="s">
        <v>160</v>
      </c>
      <c r="B100" s="9" t="s">
        <v>88</v>
      </c>
      <c r="C100" s="29">
        <v>325</v>
      </c>
      <c r="D100" s="10" t="str">
        <f t="array" ref="D100">IF(LENB(B100) = 0, "", _xlfn.IFNA(INDEX(Inv_Model_Names, MATCH(1, (Inv_Part_Num=B100)*1,  0)), ""))</f>
        <v xml:space="preserve">kenworth t680 12-21/t880 conv. Cab </v>
      </c>
      <c r="E100" s="10"/>
      <c r="F100" s="34"/>
    </row>
    <row r="101" spans="1:6">
      <c r="A101" s="8" t="s">
        <v>160</v>
      </c>
      <c r="B101" s="9" t="s">
        <v>45</v>
      </c>
      <c r="C101" s="29">
        <v>115</v>
      </c>
      <c r="D101" s="10" t="str">
        <f t="array" ref="D101">IF(LENB(B101) = 0, "", _xlfn.IFNA(INDEX(Inv_Model_Names, MATCH(1, (Inv_Part_Num=B101)*1,  0)), ""))</f>
        <v>FREIGHTLINER CASCADIA half conv. Cab 08-19 R</v>
      </c>
      <c r="E101" s="10"/>
      <c r="F101" s="45"/>
    </row>
    <row r="102" spans="1:6">
      <c r="A102" s="8" t="s">
        <v>160</v>
      </c>
      <c r="B102" s="9" t="s">
        <v>12</v>
      </c>
      <c r="C102" s="29">
        <v>115</v>
      </c>
      <c r="D102" s="10" t="str">
        <f t="array" ref="D102">IF(LENB(B102) = 0, "", _xlfn.IFNA(INDEX(Inv_Model_Names, MATCH(1, (Inv_Part_Num=B102)*1,  0)), ""))</f>
        <v>volvo VN series 97-14</v>
      </c>
      <c r="E102" s="10"/>
      <c r="F102" s="45"/>
    </row>
    <row r="103" spans="1:6">
      <c r="A103" s="8" t="s">
        <v>161</v>
      </c>
      <c r="B103" s="9" t="s">
        <v>121</v>
      </c>
      <c r="C103" s="29">
        <v>115</v>
      </c>
      <c r="D103" s="10" t="str">
        <f t="array" ref="D103">IF(LENB(B103) = 0, "", _xlfn.IFNA(INDEX(Inv_Model_Names, MATCH(1, (Inv_Part_Num=B103)*1,  0)), ""))</f>
        <v>Internaltional LT</v>
      </c>
      <c r="E103" s="10"/>
      <c r="F103" s="45"/>
    </row>
    <row r="104" spans="1:6">
      <c r="A104" s="8" t="s">
        <v>162</v>
      </c>
      <c r="B104" s="9" t="s">
        <v>163</v>
      </c>
      <c r="C104" s="29">
        <v>115</v>
      </c>
      <c r="D104" s="10" t="str">
        <f t="array" ref="D104">IF(LENB(B104) = 0, "", _xlfn.IFNA(INDEX(Inv_Model_Names, MATCH(1, (Inv_Part_Num=B104)*1,  0)), ""))</f>
        <v/>
      </c>
      <c r="E104" s="10"/>
      <c r="F104" s="45"/>
    </row>
    <row r="105" spans="1:6">
      <c r="A105" s="8" t="s">
        <v>162</v>
      </c>
      <c r="B105" s="9" t="s">
        <v>137</v>
      </c>
      <c r="C105" s="29">
        <v>648</v>
      </c>
      <c r="D105" s="10" t="str">
        <f t="array" ref="D105">IF(LENB(B105) = 0, "", _xlfn.IFNA(INDEX(Inv_Model_Names, MATCH(1, (Inv_Part_Num=B105)*1,  0)), ""))</f>
        <v>FREIGHTLINER M2 Business Class 4D conv. Cab+ext cab 03</v>
      </c>
      <c r="E105" s="10"/>
      <c r="F105" s="45"/>
    </row>
    <row r="106" spans="1:6">
      <c r="A106" s="8" t="s">
        <v>162</v>
      </c>
      <c r="B106" s="9" t="s">
        <v>121</v>
      </c>
      <c r="C106" s="29">
        <v>648</v>
      </c>
      <c r="D106" s="10" t="str">
        <f t="array" ref="D106">IF(LENB(B106) = 0, "", _xlfn.IFNA(INDEX(Inv_Model_Names, MATCH(1, (Inv_Part_Num=B106)*1,  0)), ""))</f>
        <v>Internaltional LT</v>
      </c>
      <c r="E106" s="10"/>
      <c r="F106" s="45"/>
    </row>
    <row r="107" spans="1:6">
      <c r="A107" s="8" t="s">
        <v>162</v>
      </c>
      <c r="B107" s="9" t="s">
        <v>45</v>
      </c>
      <c r="C107" s="29">
        <v>648</v>
      </c>
      <c r="D107" s="10" t="str">
        <f t="array" ref="D107">IF(LENB(B107) = 0, "", _xlfn.IFNA(INDEX(Inv_Model_Names, MATCH(1, (Inv_Part_Num=B107)*1,  0)), ""))</f>
        <v>FREIGHTLINER CASCADIA half conv. Cab 08-19 R</v>
      </c>
      <c r="E107" s="10"/>
      <c r="F107" s="45"/>
    </row>
    <row r="108" spans="1:6">
      <c r="A108" s="8" t="s">
        <v>162</v>
      </c>
      <c r="B108" s="9" t="s">
        <v>164</v>
      </c>
      <c r="C108" s="29">
        <v>541</v>
      </c>
      <c r="D108" s="10" t="str">
        <f t="array" ref="D108">IF(LENB(B108) = 0, "", _xlfn.IFNA(INDEX(Inv_Model_Names, MATCH(1, (Inv_Part_Num=B108)*1,  0)), ""))</f>
        <v/>
      </c>
      <c r="E108" s="10"/>
      <c r="F108" s="45"/>
    </row>
    <row r="109" spans="1:6">
      <c r="A109" s="8" t="s">
        <v>162</v>
      </c>
      <c r="B109" s="9" t="s">
        <v>165</v>
      </c>
      <c r="C109" s="29">
        <v>116</v>
      </c>
      <c r="D109" s="10" t="str">
        <f t="array" ref="D109">IF(LENB(B109) = 0, "", _xlfn.IFNA(INDEX(Inv_Model_Names, MATCH(1, (Inv_Part_Num=B109)*1,  0)), ""))</f>
        <v/>
      </c>
      <c r="E109" s="10"/>
      <c r="F109" s="45"/>
    </row>
    <row r="110" spans="1:6">
      <c r="A110" s="8" t="s">
        <v>162</v>
      </c>
      <c r="B110" s="9" t="s">
        <v>166</v>
      </c>
      <c r="C110" s="29">
        <v>654</v>
      </c>
      <c r="D110" s="10" t="str">
        <f t="array" ref="D110">IF(LENB(B110) = 0, "", _xlfn.IFNA(INDEX(Inv_Model_Names, MATCH(1, (Inv_Part_Num=B110)*1,  0)), ""))</f>
        <v/>
      </c>
      <c r="E110" s="10"/>
      <c r="F110" s="45"/>
    </row>
    <row r="111" spans="1:6">
      <c r="A111" s="8" t="s">
        <v>162</v>
      </c>
      <c r="B111" s="9" t="s">
        <v>167</v>
      </c>
      <c r="C111" s="29">
        <v>564</v>
      </c>
      <c r="D111" s="10" t="str">
        <f t="array" ref="D111">IF(LENB(B111) = 0, "", _xlfn.IFNA(INDEX(Inv_Model_Names, MATCH(1, (Inv_Part_Num=B111)*1,  0)), ""))</f>
        <v/>
      </c>
      <c r="E111" s="10"/>
      <c r="F111" s="45"/>
    </row>
    <row r="112" spans="1:6">
      <c r="A112" s="8" t="s">
        <v>162</v>
      </c>
      <c r="B112" s="9" t="s">
        <v>88</v>
      </c>
      <c r="C112" s="29">
        <v>546</v>
      </c>
      <c r="D112" s="10" t="str">
        <f t="array" ref="D112">IF(LENB(B112) = 0, "", _xlfn.IFNA(INDEX(Inv_Model_Names, MATCH(1, (Inv_Part_Num=B112)*1,  0)), ""))</f>
        <v xml:space="preserve">kenworth t680 12-21/t880 conv. Cab </v>
      </c>
      <c r="E112" s="10"/>
      <c r="F112" s="45"/>
    </row>
    <row r="113" spans="1:6">
      <c r="A113" s="8" t="s">
        <v>162</v>
      </c>
      <c r="B113" s="9" t="s">
        <v>168</v>
      </c>
      <c r="C113" s="29">
        <v>444</v>
      </c>
      <c r="D113" s="10" t="str">
        <f t="array" ref="D113">IF(LENB(B113) = 0, "", _xlfn.IFNA(INDEX(Inv_Model_Names, MATCH(1, (Inv_Part_Num=B113)*1,  0)), ""))</f>
        <v/>
      </c>
      <c r="E113" s="10"/>
      <c r="F113" s="45"/>
    </row>
    <row r="114" spans="1:6">
      <c r="A114" s="8" t="s">
        <v>162</v>
      </c>
      <c r="B114" s="9" t="s">
        <v>169</v>
      </c>
      <c r="C114" s="29">
        <v>146</v>
      </c>
      <c r="D114" s="10" t="str">
        <f t="array" ref="D114">IF(LENB(B114) = 0, "", _xlfn.IFNA(INDEX(Inv_Model_Names, MATCH(1, (Inv_Part_Num=B114)*1,  0)), ""))</f>
        <v/>
      </c>
      <c r="E114" s="10"/>
      <c r="F114" s="45"/>
    </row>
    <row r="115" spans="1:6">
      <c r="A115" s="8" t="s">
        <v>170</v>
      </c>
      <c r="B115" s="9" t="s">
        <v>32</v>
      </c>
      <c r="C115" s="29">
        <v>146</v>
      </c>
      <c r="D115" s="10" t="str">
        <f t="array" ref="D115">IF(LENB(B115) = 0, "", _xlfn.IFNA(INDEX(Inv_Model_Names, MATCH(1, (Inv_Part_Num=B115)*1,  0)), ""))</f>
        <v>FREIGHTLINER CASCADIA (LDWS &amp; RAIN SENEOR)</v>
      </c>
      <c r="E115" s="10"/>
      <c r="F115" s="34"/>
    </row>
    <row r="116" spans="1:6">
      <c r="A116" s="8" t="s">
        <v>170</v>
      </c>
      <c r="B116" s="9" t="s">
        <v>124</v>
      </c>
      <c r="C116" s="29">
        <v>145</v>
      </c>
      <c r="D116" s="10" t="str">
        <f t="array" ref="D116">IF(LENB(B116) = 0, "", _xlfn.IFNA(INDEX(Inv_Model_Names, MATCH(1, (Inv_Part_Num=B116)*1,  0)), ""))</f>
        <v>FREIGHTLINER Century Class C112/120.122SD conv. Cab 96-18 R</v>
      </c>
      <c r="E116" s="10"/>
      <c r="F116" s="34"/>
    </row>
    <row r="117" spans="1:6">
      <c r="A117" s="8" t="s">
        <v>170</v>
      </c>
      <c r="B117" s="9" t="s">
        <v>23</v>
      </c>
      <c r="C117" s="29">
        <v>144</v>
      </c>
      <c r="D117" s="10" t="str">
        <f t="array" ref="D117">IF(LENB(B117) = 0, "", _xlfn.IFNA(INDEX(Inv_Model_Names, MATCH(1, (Inv_Part_Num=B117)*1,  0)), ""))</f>
        <v xml:space="preserve">FREIGHTLINER CASCADIA conv. Cab 17-22  </v>
      </c>
      <c r="E117" s="10"/>
      <c r="F117" s="45"/>
    </row>
    <row r="118" spans="1:6">
      <c r="A118" s="8" t="s">
        <v>171</v>
      </c>
      <c r="B118" s="9" t="s">
        <v>137</v>
      </c>
      <c r="C118" s="29">
        <v>154</v>
      </c>
      <c r="D118" s="10" t="str">
        <f t="array" ref="D118">IF(LENB(B118) = 0, "", _xlfn.IFNA(INDEX(Inv_Model_Names, MATCH(1, (Inv_Part_Num=B118)*1,  0)), ""))</f>
        <v>FREIGHTLINER M2 Business Class 4D conv. Cab+ext cab 03</v>
      </c>
      <c r="E118" s="10"/>
      <c r="F118" s="45"/>
    </row>
    <row r="119" spans="1:6">
      <c r="A119" s="8" t="s">
        <v>172</v>
      </c>
      <c r="B119" s="9" t="s">
        <v>23</v>
      </c>
      <c r="C119" s="29">
        <v>156</v>
      </c>
      <c r="D119" s="10" t="str">
        <f t="array" ref="D119">IF(LENB(B119) = 0, "", _xlfn.IFNA(INDEX(Inv_Model_Names, MATCH(1, (Inv_Part_Num=B119)*1,  0)), ""))</f>
        <v xml:space="preserve">FREIGHTLINER CASCADIA conv. Cab 17-22  </v>
      </c>
      <c r="E119" s="10"/>
      <c r="F119" s="34"/>
    </row>
    <row r="120" spans="1:6">
      <c r="A120" s="8" t="s">
        <v>172</v>
      </c>
      <c r="B120" s="9" t="s">
        <v>12</v>
      </c>
      <c r="C120" s="29">
        <v>157</v>
      </c>
      <c r="D120" s="10" t="str">
        <f t="array" ref="D120">IF(LENB(B120) = 0, "", _xlfn.IFNA(INDEX(Inv_Model_Names, MATCH(1, (Inv_Part_Num=B120)*1,  0)), ""))</f>
        <v>volvo VN series 97-14</v>
      </c>
      <c r="E120" s="10"/>
      <c r="F120" s="45"/>
    </row>
    <row r="121" spans="1:6">
      <c r="A121" s="8" t="s">
        <v>172</v>
      </c>
      <c r="B121" s="9" t="s">
        <v>173</v>
      </c>
      <c r="C121" s="29">
        <v>111</v>
      </c>
      <c r="D121" s="10" t="str">
        <f t="array" ref="D121">IF(LENB(B121) = 0, "", _xlfn.IFNA(INDEX(Inv_Model_Names, MATCH(1, (Inv_Part_Num=B121)*1,  0)), ""))</f>
        <v/>
      </c>
      <c r="E121" s="10"/>
      <c r="F121" s="45"/>
    </row>
    <row r="122" spans="1:6">
      <c r="A122" s="8" t="s">
        <v>172</v>
      </c>
      <c r="B122" s="9" t="s">
        <v>127</v>
      </c>
      <c r="C122" s="29">
        <v>2536</v>
      </c>
      <c r="D122" s="10" t="str">
        <f t="array" ref="D122">IF(LENB(B122) = 0, "", _xlfn.IFNA(INDEX(Inv_Model_Names, MATCH(1, (Inv_Part_Num=B122)*1,  0)), ""))</f>
        <v/>
      </c>
      <c r="E122" s="10"/>
      <c r="F122" s="45"/>
    </row>
    <row r="123" spans="1:6">
      <c r="A123" s="8" t="s">
        <v>174</v>
      </c>
      <c r="B123" s="9" t="s">
        <v>23</v>
      </c>
      <c r="C123" s="29">
        <v>57</v>
      </c>
      <c r="D123" s="10" t="str">
        <f t="array" ref="D123">IF(LENB(B123) = 0, "", _xlfn.IFNA(INDEX(Inv_Model_Names, MATCH(1, (Inv_Part_Num=B123)*1,  0)), ""))</f>
        <v xml:space="preserve">FREIGHTLINER CASCADIA conv. Cab 17-22  </v>
      </c>
      <c r="E123" s="10"/>
      <c r="F123" s="45"/>
    </row>
    <row r="124" spans="1:6">
      <c r="A124" s="8" t="s">
        <v>175</v>
      </c>
      <c r="B124" s="9" t="s">
        <v>32</v>
      </c>
      <c r="C124" s="29">
        <v>56</v>
      </c>
      <c r="D124" s="10" t="str">
        <f t="array" ref="D124">IF(LENB(B124) = 0, "", _xlfn.IFNA(INDEX(Inv_Model_Names, MATCH(1, (Inv_Part_Num=B124)*1,  0)), ""))</f>
        <v>FREIGHTLINER CASCADIA (LDWS &amp; RAIN SENEOR)</v>
      </c>
      <c r="E124" s="10"/>
      <c r="F124" s="45"/>
    </row>
    <row r="125" spans="1:6">
      <c r="A125" s="8" t="s">
        <v>176</v>
      </c>
      <c r="B125" s="9" t="s">
        <v>12</v>
      </c>
      <c r="C125" s="29">
        <v>556</v>
      </c>
      <c r="D125" s="10" t="str">
        <f t="array" ref="D125">IF(LENB(B125) = 0, "", _xlfn.IFNA(INDEX(Inv_Model_Names, MATCH(1, (Inv_Part_Num=B125)*1,  0)), ""))</f>
        <v>volvo VN series 97-14</v>
      </c>
      <c r="E125" s="10"/>
      <c r="F125" s="45"/>
    </row>
    <row r="126" spans="1:6">
      <c r="A126" s="8" t="s">
        <v>176</v>
      </c>
      <c r="B126" s="9" t="s">
        <v>177</v>
      </c>
      <c r="C126" s="29">
        <v>54</v>
      </c>
      <c r="D126" s="10" t="str">
        <f t="array" ref="D126">IF(LENB(B126) = 0, "", _xlfn.IFNA(INDEX(Inv_Model_Names, MATCH(1, (Inv_Part_Num=B126)*1,  0)), ""))</f>
        <v/>
      </c>
      <c r="E126" s="10"/>
      <c r="F126" s="34"/>
    </row>
    <row r="127" spans="1:6">
      <c r="A127" s="8" t="s">
        <v>176</v>
      </c>
      <c r="B127" s="9" t="s">
        <v>121</v>
      </c>
      <c r="C127" s="29">
        <v>5</v>
      </c>
      <c r="D127" s="10" t="str">
        <f t="array" ref="D127">IF(LENB(B127) = 0, "", _xlfn.IFNA(INDEX(Inv_Model_Names, MATCH(1, (Inv_Part_Num=B127)*1,  0)), ""))</f>
        <v>Internaltional LT</v>
      </c>
      <c r="E127" s="10"/>
      <c r="F127" s="45"/>
    </row>
    <row r="128" spans="1:6">
      <c r="A128" s="8" t="s">
        <v>176</v>
      </c>
      <c r="B128" s="9" t="s">
        <v>120</v>
      </c>
      <c r="C128" s="29">
        <v>157</v>
      </c>
      <c r="D128" s="10" t="str">
        <f t="array" ref="D128">IF(LENB(B128) = 0, "", _xlfn.IFNA(INDEX(Inv_Model_Names, MATCH(1, (Inv_Part_Num=B128)*1,  0)), ""))</f>
        <v>FREIGHTLINER CASCADIA half conv. Cab 08-20 L</v>
      </c>
      <c r="E128" s="10"/>
      <c r="F128" s="45"/>
    </row>
    <row r="129" spans="1:6">
      <c r="A129" s="8" t="s">
        <v>178</v>
      </c>
      <c r="B129" s="9" t="s">
        <v>179</v>
      </c>
      <c r="C129" s="29">
        <v>975</v>
      </c>
      <c r="D129" s="10" t="str">
        <f t="array" ref="D129">IF(LENB(B129) = 0, "", _xlfn.IFNA(INDEX(Inv_Model_Names, MATCH(1, (Inv_Part_Num=B129)*1,  0)), ""))</f>
        <v/>
      </c>
      <c r="E129" s="10"/>
      <c r="F129" s="10"/>
    </row>
    <row r="130" spans="1:6">
      <c r="A130" s="8" t="s">
        <v>180</v>
      </c>
      <c r="B130" s="9" t="s">
        <v>12</v>
      </c>
      <c r="C130" s="29">
        <v>652</v>
      </c>
      <c r="D130" s="10" t="str">
        <f t="array" ref="D130">IF(LENB(B130) = 0, "", _xlfn.IFNA(INDEX(Inv_Model_Names, MATCH(1, (Inv_Part_Num=B130)*1,  0)), ""))</f>
        <v>volvo VN series 97-14</v>
      </c>
      <c r="E130" s="10"/>
      <c r="F130" s="34"/>
    </row>
    <row r="131" spans="1:6">
      <c r="A131" s="8" t="s">
        <v>180</v>
      </c>
      <c r="B131" s="9" t="s">
        <v>88</v>
      </c>
      <c r="C131" s="29">
        <v>157</v>
      </c>
      <c r="D131" s="10" t="str">
        <f t="array" ref="D131">IF(LENB(B131) = 0, "", _xlfn.IFNA(INDEX(Inv_Model_Names, MATCH(1, (Inv_Part_Num=B131)*1,  0)), ""))</f>
        <v xml:space="preserve">kenworth t680 12-21/t880 conv. Cab </v>
      </c>
      <c r="E131" s="10"/>
      <c r="F131" s="34"/>
    </row>
    <row r="132" spans="1:6">
      <c r="A132" s="8" t="s">
        <v>180</v>
      </c>
      <c r="B132" s="9" t="s">
        <v>23</v>
      </c>
      <c r="C132" s="29">
        <v>568</v>
      </c>
      <c r="D132" s="10" t="str">
        <f t="array" ref="D132">IF(LENB(B132) = 0, "", _xlfn.IFNA(INDEX(Inv_Model_Names, MATCH(1, (Inv_Part_Num=B132)*1,  0)), ""))</f>
        <v xml:space="preserve">FREIGHTLINER CASCADIA conv. Cab 17-22  </v>
      </c>
      <c r="E132" s="10"/>
      <c r="F132" s="34"/>
    </row>
    <row r="133" spans="1:6">
      <c r="A133" s="8" t="s">
        <v>180</v>
      </c>
      <c r="B133" s="9" t="s">
        <v>121</v>
      </c>
      <c r="C133" s="29">
        <v>795</v>
      </c>
      <c r="D133" s="10" t="str">
        <f t="array" ref="D133">IF(LENB(B133) = 0, "", _xlfn.IFNA(INDEX(Inv_Model_Names, MATCH(1, (Inv_Part_Num=B133)*1,  0)), ""))</f>
        <v>Internaltional LT</v>
      </c>
      <c r="E133" s="10"/>
      <c r="F133" s="45"/>
    </row>
    <row r="134" spans="1:6">
      <c r="A134" s="8" t="s">
        <v>180</v>
      </c>
      <c r="B134" s="9">
        <v>2433</v>
      </c>
      <c r="C134" s="29">
        <v>214</v>
      </c>
      <c r="D134" s="10" t="str">
        <f t="array" ref="D134">IF(LENB(B134) = 0, "", _xlfn.IFNA(INDEX(Inv_Model_Names, MATCH(1, (Inv_Part_Num=B134)*1,  0)), ""))</f>
        <v/>
      </c>
      <c r="E134" s="10"/>
      <c r="F134" s="45"/>
    </row>
    <row r="135" spans="1:6">
      <c r="A135" s="8" t="s">
        <v>180</v>
      </c>
      <c r="B135" s="9">
        <v>1310</v>
      </c>
      <c r="C135" s="29">
        <v>222</v>
      </c>
      <c r="D135" s="10" t="str">
        <f t="array" ref="D135">IF(LENB(B135) = 0, "", _xlfn.IFNA(INDEX(Inv_Model_Names, MATCH(1, (Inv_Part_Num=B135)*1,  0)), ""))</f>
        <v/>
      </c>
      <c r="E135" s="10"/>
      <c r="F135" s="45"/>
    </row>
    <row r="136" spans="1:6">
      <c r="A136" s="8" t="s">
        <v>180</v>
      </c>
      <c r="B136" s="9" t="s">
        <v>120</v>
      </c>
      <c r="C136" s="29">
        <v>326</v>
      </c>
      <c r="D136" s="10" t="str">
        <f t="array" ref="D136">IF(LENB(B136) = 0, "", _xlfn.IFNA(INDEX(Inv_Model_Names, MATCH(1, (Inv_Part_Num=B136)*1,  0)), ""))</f>
        <v>FREIGHTLINER CASCADIA half conv. Cab 08-20 L</v>
      </c>
      <c r="E136" s="10"/>
      <c r="F136" s="45"/>
    </row>
    <row r="137" spans="1:6">
      <c r="A137" s="8" t="s">
        <v>180</v>
      </c>
      <c r="B137" s="9" t="s">
        <v>124</v>
      </c>
      <c r="C137" s="29">
        <v>123</v>
      </c>
      <c r="D137" s="10" t="str">
        <f t="array" ref="D137">IF(LENB(B137) = 0, "", _xlfn.IFNA(INDEX(Inv_Model_Names, MATCH(1, (Inv_Part_Num=B137)*1,  0)), ""))</f>
        <v>FREIGHTLINER Century Class C112/120.122SD conv. Cab 96-18 R</v>
      </c>
      <c r="E137" s="10"/>
      <c r="F137" s="45"/>
    </row>
    <row r="138" spans="1:6">
      <c r="A138" s="8" t="s">
        <v>181</v>
      </c>
      <c r="B138" s="9" t="s">
        <v>182</v>
      </c>
      <c r="C138" s="29">
        <v>125</v>
      </c>
      <c r="D138" s="10" t="str">
        <f t="array" ref="D138">IF(LENB(B138) = 0, "", _xlfn.IFNA(INDEX(Inv_Model_Names, MATCH(1, (Inv_Part_Num=B138)*1,  0)), ""))</f>
        <v/>
      </c>
      <c r="E138" s="10"/>
      <c r="F138" s="34"/>
    </row>
    <row r="139" spans="1:6">
      <c r="A139" s="8" t="s">
        <v>80</v>
      </c>
      <c r="B139" s="9" t="s">
        <v>32</v>
      </c>
      <c r="C139" s="29">
        <v>125</v>
      </c>
      <c r="D139" s="10" t="str">
        <f t="array" ref="D139">IF(LENB(B139) = 0, "", _xlfn.IFNA(INDEX(Inv_Model_Names, MATCH(1, (Inv_Part_Num=B139)*1,  0)), ""))</f>
        <v>FREIGHTLINER CASCADIA (LDWS &amp; RAIN SENEOR)</v>
      </c>
      <c r="E139" s="10"/>
      <c r="F139" s="45"/>
    </row>
    <row r="140" spans="1:6">
      <c r="A140" s="8" t="s">
        <v>80</v>
      </c>
      <c r="B140" s="9" t="s">
        <v>23</v>
      </c>
      <c r="C140" s="29">
        <v>126</v>
      </c>
      <c r="D140" s="10" t="str">
        <f t="array" ref="D140">IF(LENB(B140) = 0, "", _xlfn.IFNA(INDEX(Inv_Model_Names, MATCH(1, (Inv_Part_Num=B140)*1,  0)), ""))</f>
        <v xml:space="preserve">FREIGHTLINER CASCADIA conv. Cab 17-22  </v>
      </c>
      <c r="E140" s="10"/>
      <c r="F140" s="45"/>
    </row>
    <row r="141" spans="1:6">
      <c r="A141" s="8" t="s">
        <v>183</v>
      </c>
      <c r="B141" s="9" t="s">
        <v>12</v>
      </c>
      <c r="C141" s="29">
        <v>133</v>
      </c>
      <c r="D141" s="10" t="str">
        <f t="array" ref="D141">IF(LENB(B141) = 0, "", _xlfn.IFNA(INDEX(Inv_Model_Names, MATCH(1, (Inv_Part_Num=B141)*1,  0)), ""))</f>
        <v>volvo VN series 97-14</v>
      </c>
      <c r="E141" s="10"/>
      <c r="F141" s="34"/>
    </row>
    <row r="142" spans="1:6">
      <c r="A142" s="8" t="s">
        <v>183</v>
      </c>
      <c r="B142" s="9" t="s">
        <v>23</v>
      </c>
      <c r="C142" s="29">
        <v>133</v>
      </c>
      <c r="D142" s="10" t="str">
        <f t="array" ref="D142">IF(LENB(B142) = 0, "", _xlfn.IFNA(INDEX(Inv_Model_Names, MATCH(1, (Inv_Part_Num=B142)*1,  0)), ""))</f>
        <v xml:space="preserve">FREIGHTLINER CASCADIA conv. Cab 17-22  </v>
      </c>
      <c r="E142" s="10"/>
      <c r="F142" s="45"/>
    </row>
    <row r="143" spans="1:6">
      <c r="A143" s="8" t="s">
        <v>183</v>
      </c>
      <c r="B143" s="9" t="s">
        <v>120</v>
      </c>
      <c r="C143" s="29">
        <v>133</v>
      </c>
      <c r="D143" s="10" t="str">
        <f t="array" ref="D143">IF(LENB(B143) = 0, "", _xlfn.IFNA(INDEX(Inv_Model_Names, MATCH(1, (Inv_Part_Num=B143)*1,  0)), ""))</f>
        <v>FREIGHTLINER CASCADIA half conv. Cab 08-20 L</v>
      </c>
      <c r="E143" s="10"/>
      <c r="F143" s="45"/>
    </row>
    <row r="144" spans="1:6">
      <c r="A144" s="8" t="s">
        <v>183</v>
      </c>
      <c r="B144" s="9" t="s">
        <v>127</v>
      </c>
      <c r="C144" s="29">
        <v>133</v>
      </c>
      <c r="D144" s="10" t="str">
        <f t="array" ref="D144">IF(LENB(B144) = 0, "", _xlfn.IFNA(INDEX(Inv_Model_Names, MATCH(1, (Inv_Part_Num=B144)*1,  0)), ""))</f>
        <v/>
      </c>
      <c r="E144" s="10"/>
      <c r="F144" s="45"/>
    </row>
    <row r="145" spans="1:6">
      <c r="A145" s="8" t="s">
        <v>184</v>
      </c>
      <c r="B145" s="9" t="s">
        <v>32</v>
      </c>
      <c r="C145" s="29">
        <v>222</v>
      </c>
      <c r="D145" s="10" t="str" cm="1">
        <f t="array" ref="D145">IF(LENB(B145) = 0, "", _xlfn.IFNA(INDEX(Inv_Model_Names, MATCH(1, (Inv_Part_Num=B145)*1,  0)), ""))</f>
        <v>FREIGHTLINER CASCADIA (LDWS &amp; RAIN SENEOR)</v>
      </c>
      <c r="E145" s="10"/>
      <c r="F145" s="45"/>
    </row>
    <row r="146" spans="1:6">
      <c r="A146" s="8" t="s">
        <v>184</v>
      </c>
      <c r="B146" s="9" t="s">
        <v>12</v>
      </c>
      <c r="C146" s="29">
        <v>222</v>
      </c>
      <c r="D146" s="10" t="str">
        <f t="array" ref="D146">IF(LENB(B146) = 0, "", _xlfn.IFNA(INDEX(Inv_Model_Names, MATCH(1, (Inv_Part_Num=B146)*1,  0)), ""))</f>
        <v>volvo VN series 97-14</v>
      </c>
      <c r="E146" s="10"/>
      <c r="F146" s="34"/>
    </row>
    <row r="147" spans="1:6">
      <c r="A147" s="8" t="s">
        <v>184</v>
      </c>
      <c r="B147" s="9" t="s">
        <v>120</v>
      </c>
      <c r="C147" s="29">
        <v>222</v>
      </c>
      <c r="D147" s="10" t="str">
        <f t="array" ref="D147">IF(LENB(B147) = 0, "", _xlfn.IFNA(INDEX(Inv_Model_Names, MATCH(1, (Inv_Part_Num=B147)*1,  0)), ""))</f>
        <v>FREIGHTLINER CASCADIA half conv. Cab 08-20 L</v>
      </c>
      <c r="E147" s="10"/>
      <c r="F147" s="34"/>
    </row>
    <row r="148" spans="1:6">
      <c r="A148" s="8" t="s">
        <v>184</v>
      </c>
      <c r="B148" s="9" t="s">
        <v>23</v>
      </c>
      <c r="C148" s="29">
        <v>222</v>
      </c>
      <c r="D148" s="10" t="str">
        <f t="array" ref="D148">IF(LENB(B148) = 0, "", _xlfn.IFNA(INDEX(Inv_Model_Names, MATCH(1, (Inv_Part_Num=B148)*1,  0)), ""))</f>
        <v xml:space="preserve">FREIGHTLINER CASCADIA conv. Cab 17-22  </v>
      </c>
      <c r="E148" s="10"/>
      <c r="F148" s="45"/>
    </row>
    <row r="149" spans="1:6">
      <c r="A149" s="8" t="s">
        <v>184</v>
      </c>
      <c r="B149" s="9" t="s">
        <v>88</v>
      </c>
      <c r="C149" s="29">
        <v>111</v>
      </c>
      <c r="D149" s="10" t="str">
        <f t="array" ref="D149">IF(LENB(B149) = 0, "", _xlfn.IFNA(INDEX(Inv_Model_Names, MATCH(1, (Inv_Part_Num=B149)*1,  0)), ""))</f>
        <v xml:space="preserve">kenworth t680 12-21/t880 conv. Cab </v>
      </c>
      <c r="E149" s="10"/>
      <c r="F149" s="45"/>
    </row>
    <row r="150" spans="1:6">
      <c r="A150" s="8" t="s">
        <v>185</v>
      </c>
      <c r="B150" s="9" t="s">
        <v>12</v>
      </c>
      <c r="C150" s="29">
        <v>444</v>
      </c>
      <c r="D150" s="10" t="str">
        <f t="array" ref="D150">IF(LENB(B150) = 0, "", _xlfn.IFNA(INDEX(Inv_Model_Names, MATCH(1, (Inv_Part_Num=B150)*1,  0)), ""))</f>
        <v>volvo VN series 97-14</v>
      </c>
      <c r="E150" s="10"/>
      <c r="F150" s="45"/>
    </row>
    <row r="151" spans="1:6">
      <c r="A151" s="8" t="s">
        <v>186</v>
      </c>
      <c r="B151" s="9" t="s">
        <v>187</v>
      </c>
      <c r="C151" s="29">
        <v>888</v>
      </c>
      <c r="D151" s="10" t="str">
        <f t="array" ref="D151">IF(LENB(B151) = 0, "", _xlfn.IFNA(INDEX(Inv_Model_Names, MATCH(1, (Inv_Part_Num=B151)*1,  0)), ""))</f>
        <v/>
      </c>
      <c r="E151" s="10"/>
      <c r="F151" s="34"/>
    </row>
    <row r="152" spans="1:6">
      <c r="A152" s="8" t="s">
        <v>186</v>
      </c>
      <c r="B152" s="9" t="s">
        <v>188</v>
      </c>
      <c r="C152" s="29">
        <v>888</v>
      </c>
      <c r="D152" s="10" t="str">
        <f t="array" ref="D152">IF(LENB(B152) = 0, "", _xlfn.IFNA(INDEX(Inv_Model_Names, MATCH(1, (Inv_Part_Num=B152)*1,  0)), ""))</f>
        <v/>
      </c>
      <c r="E152" s="10"/>
      <c r="F152" s="45"/>
    </row>
    <row r="153" spans="1:6">
      <c r="A153" s="8" t="s">
        <v>186</v>
      </c>
      <c r="B153" s="9" t="s">
        <v>23</v>
      </c>
      <c r="C153" s="29">
        <v>945</v>
      </c>
      <c r="D153" s="10" t="str">
        <f t="array" ref="D153">IF(LENB(B153) = 0, "", _xlfn.IFNA(INDEX(Inv_Model_Names, MATCH(1, (Inv_Part_Num=B153)*1,  0)), ""))</f>
        <v xml:space="preserve">FREIGHTLINER CASCADIA conv. Cab 17-22  </v>
      </c>
      <c r="E153" s="10"/>
      <c r="F153" s="45"/>
    </row>
    <row r="154" spans="1:6">
      <c r="A154" s="8" t="s">
        <v>186</v>
      </c>
      <c r="B154" s="9" t="s">
        <v>121</v>
      </c>
      <c r="C154" s="29">
        <v>363</v>
      </c>
      <c r="D154" s="10" t="str">
        <f t="array" ref="D154">IF(LENB(B154) = 0, "", _xlfn.IFNA(INDEX(Inv_Model_Names, MATCH(1, (Inv_Part_Num=B154)*1,  0)), ""))</f>
        <v>Internaltional LT</v>
      </c>
      <c r="E154" s="10"/>
      <c r="F154" s="45"/>
    </row>
    <row r="155" spans="1:6">
      <c r="A155" s="8" t="s">
        <v>186</v>
      </c>
      <c r="B155" s="9" t="s">
        <v>127</v>
      </c>
      <c r="C155" s="29">
        <v>636</v>
      </c>
      <c r="D155" s="10" t="str">
        <f t="array" ref="D155">IF(LENB(B155) = 0, "", _xlfn.IFNA(INDEX(Inv_Model_Names, MATCH(1, (Inv_Part_Num=B155)*1,  0)), ""))</f>
        <v/>
      </c>
      <c r="E155" s="10"/>
      <c r="F155" s="45"/>
    </row>
    <row r="156" spans="1:6">
      <c r="A156" s="8" t="s">
        <v>186</v>
      </c>
      <c r="B156" s="9" t="s">
        <v>32</v>
      </c>
      <c r="C156" s="29">
        <v>363</v>
      </c>
      <c r="D156" s="10" t="str">
        <f t="array" ref="D156">IF(LENB(B156) = 0, "", _xlfn.IFNA(INDEX(Inv_Model_Names, MATCH(1, (Inv_Part_Num=B156)*1,  0)), ""))</f>
        <v>FREIGHTLINER CASCADIA (LDWS &amp; RAIN SENEOR)</v>
      </c>
      <c r="E156" s="10"/>
      <c r="F156" s="34"/>
    </row>
    <row r="157" spans="1:6">
      <c r="A157" s="8" t="s">
        <v>189</v>
      </c>
      <c r="B157" s="9" t="s">
        <v>158</v>
      </c>
      <c r="C157" s="29">
        <v>111</v>
      </c>
      <c r="D157" s="10" t="str">
        <f t="array" ref="D157">IF(LENB(B157) = 0, "", _xlfn.IFNA(INDEX(Inv_Model_Names, MATCH(1, (Inv_Part_Num=B157)*1,  0)), ""))</f>
        <v/>
      </c>
      <c r="E157" s="10"/>
      <c r="F157" s="34"/>
    </row>
    <row r="158" spans="1:6">
      <c r="A158" s="8" t="s">
        <v>190</v>
      </c>
      <c r="B158" s="9" t="s">
        <v>23</v>
      </c>
      <c r="C158" s="29">
        <v>111</v>
      </c>
      <c r="D158" s="10" t="str">
        <f t="array" ref="D158">IF(LENB(B158) = 0, "", _xlfn.IFNA(INDEX(Inv_Model_Names, MATCH(1, (Inv_Part_Num=B158)*1,  0)), ""))</f>
        <v xml:space="preserve">FREIGHTLINER CASCADIA conv. Cab 17-22  </v>
      </c>
      <c r="E158" s="10"/>
      <c r="F158" s="45"/>
    </row>
    <row r="159" spans="1:6">
      <c r="A159" s="8" t="s">
        <v>190</v>
      </c>
      <c r="B159" s="9" t="s">
        <v>173</v>
      </c>
      <c r="C159" s="29">
        <v>111</v>
      </c>
      <c r="D159" s="10" t="str">
        <f t="array" ref="D159">IF(LENB(B159) = 0, "", _xlfn.IFNA(INDEX(Inv_Model_Names, MATCH(1, (Inv_Part_Num=B159)*1,  0)), ""))</f>
        <v/>
      </c>
      <c r="E159" s="10"/>
      <c r="F159" s="45"/>
    </row>
    <row r="160" spans="1:6">
      <c r="A160" s="8" t="s">
        <v>190</v>
      </c>
      <c r="B160" s="9" t="s">
        <v>12</v>
      </c>
      <c r="C160" s="29">
        <v>111</v>
      </c>
      <c r="D160" s="10" t="str">
        <f t="array" ref="D160">IF(LENB(B160) = 0, "", _xlfn.IFNA(INDEX(Inv_Model_Names, MATCH(1, (Inv_Part_Num=B160)*1,  0)), ""))</f>
        <v>volvo VN series 97-14</v>
      </c>
      <c r="E160" s="10"/>
      <c r="F160" s="45"/>
    </row>
    <row r="161" spans="1:6">
      <c r="A161" s="8" t="s">
        <v>190</v>
      </c>
      <c r="B161" s="9" t="s">
        <v>137</v>
      </c>
      <c r="C161" s="29">
        <v>333</v>
      </c>
      <c r="D161" s="10" t="str">
        <f t="array" ref="D161">IF(LENB(B161) = 0, "", _xlfn.IFNA(INDEX(Inv_Model_Names, MATCH(1, (Inv_Part_Num=B161)*1,  0)), ""))</f>
        <v>FREIGHTLINER M2 Business Class 4D conv. Cab+ext cab 03</v>
      </c>
      <c r="E161" s="10"/>
      <c r="F161" s="34"/>
    </row>
    <row r="162" spans="1:6">
      <c r="A162" s="8" t="s">
        <v>191</v>
      </c>
      <c r="B162" s="9" t="s">
        <v>23</v>
      </c>
      <c r="C162" s="29">
        <v>333</v>
      </c>
      <c r="D162" s="10" t="str">
        <f t="array" ref="D162">IF(LENB(B162) = 0, "", _xlfn.IFNA(INDEX(Inv_Model_Names, MATCH(1, (Inv_Part_Num=B162)*1,  0)), ""))</f>
        <v xml:space="preserve">FREIGHTLINER CASCADIA conv. Cab 17-22  </v>
      </c>
      <c r="E162" s="10"/>
      <c r="F162" s="45"/>
    </row>
    <row r="163" spans="1:6">
      <c r="A163" s="8" t="s">
        <v>192</v>
      </c>
      <c r="B163" s="9" t="s">
        <v>12</v>
      </c>
      <c r="C163" s="29">
        <v>333</v>
      </c>
      <c r="D163" s="10" t="str">
        <f t="array" ref="D163">IF(LENB(B163) = 0, "", _xlfn.IFNA(INDEX(Inv_Model_Names, MATCH(1, (Inv_Part_Num=B163)*1,  0)), ""))</f>
        <v>volvo VN series 97-14</v>
      </c>
      <c r="E163" s="10"/>
      <c r="F163" s="45"/>
    </row>
    <row r="164" spans="1:6">
      <c r="A164" s="8" t="s">
        <v>193</v>
      </c>
      <c r="B164" s="9" t="s">
        <v>45</v>
      </c>
      <c r="C164" s="29">
        <v>333</v>
      </c>
      <c r="D164" s="10" t="str">
        <f t="array" ref="D164">IF(LENB(B164) = 0, "", _xlfn.IFNA(INDEX(Inv_Model_Names, MATCH(1, (Inv_Part_Num=B164)*1,  0)), ""))</f>
        <v>FREIGHTLINER CASCADIA half conv. Cab 08-19 R</v>
      </c>
      <c r="E164" s="10"/>
      <c r="F164" s="34"/>
    </row>
    <row r="165" spans="1:6">
      <c r="A165" s="8" t="s">
        <v>193</v>
      </c>
      <c r="B165" s="9" t="s">
        <v>12</v>
      </c>
      <c r="C165" s="29">
        <v>333</v>
      </c>
      <c r="D165" s="10" t="str">
        <f t="array" ref="D165">IF(LENB(B165) = 0, "", _xlfn.IFNA(INDEX(Inv_Model_Names, MATCH(1, (Inv_Part_Num=B165)*1,  0)), ""))</f>
        <v>volvo VN series 97-14</v>
      </c>
      <c r="E165" s="10"/>
      <c r="F165" s="45"/>
    </row>
    <row r="166" spans="1:6">
      <c r="A166" s="8" t="s">
        <v>193</v>
      </c>
      <c r="B166" s="9" t="s">
        <v>41</v>
      </c>
      <c r="C166" s="29">
        <v>333</v>
      </c>
      <c r="D166" s="10" t="str">
        <f t="array" ref="D166">IF(LENB(B166) = 0, "", _xlfn.IFNA(INDEX(Inv_Model_Names, MATCH(1, (Inv_Part_Num=B166)*1,  0)), ""))</f>
        <v>FREIGHTLINER corornado Century class conv. cab 96-18 L</v>
      </c>
      <c r="E166" s="10"/>
      <c r="F166" s="45"/>
    </row>
    <row r="167" spans="1:6">
      <c r="A167" s="8" t="s">
        <v>193</v>
      </c>
      <c r="B167" s="9" t="s">
        <v>137</v>
      </c>
      <c r="C167" s="29">
        <v>33</v>
      </c>
      <c r="D167" s="10" t="str">
        <f t="array" ref="D167">IF(LENB(B167) = 0, "", _xlfn.IFNA(INDEX(Inv_Model_Names, MATCH(1, (Inv_Part_Num=B167)*1,  0)), ""))</f>
        <v>FREIGHTLINER M2 Business Class 4D conv. Cab+ext cab 03</v>
      </c>
      <c r="E167" s="10"/>
      <c r="F167" s="34"/>
    </row>
    <row r="168" spans="1:6">
      <c r="A168" s="8" t="s">
        <v>194</v>
      </c>
      <c r="B168" s="9" t="s">
        <v>12</v>
      </c>
      <c r="C168" s="29">
        <v>3</v>
      </c>
      <c r="D168" s="10" t="str">
        <f t="array" ref="D168">IF(LENB(B168) = 0, "", _xlfn.IFNA(INDEX(Inv_Model_Names, MATCH(1, (Inv_Part_Num=B168)*1,  0)), ""))</f>
        <v>volvo VN series 97-14</v>
      </c>
      <c r="E168" s="10"/>
      <c r="F168" s="45"/>
    </row>
    <row r="169" spans="1:6">
      <c r="A169" s="8" t="s">
        <v>194</v>
      </c>
      <c r="B169" s="9" t="s">
        <v>88</v>
      </c>
      <c r="C169" s="29">
        <v>55</v>
      </c>
      <c r="D169" s="10" t="str">
        <f t="array" ref="D169">IF(LENB(B169) = 0, "", _xlfn.IFNA(INDEX(Inv_Model_Names, MATCH(1, (Inv_Part_Num=B169)*1,  0)), ""))</f>
        <v xml:space="preserve">kenworth t680 12-21/t880 conv. Cab </v>
      </c>
      <c r="E169" s="10"/>
      <c r="F169" s="45"/>
    </row>
    <row r="170" spans="1:6">
      <c r="A170" s="8" t="s">
        <v>194</v>
      </c>
      <c r="B170" s="9" t="s">
        <v>23</v>
      </c>
      <c r="C170" s="29">
        <v>852</v>
      </c>
      <c r="D170" s="10" t="str">
        <f t="array" ref="D170">IF(LENB(B170) = 0, "", _xlfn.IFNA(INDEX(Inv_Model_Names, MATCH(1, (Inv_Part_Num=B170)*1,  0)), ""))</f>
        <v xml:space="preserve">FREIGHTLINER CASCADIA conv. Cab 17-22  </v>
      </c>
      <c r="E170" s="10"/>
      <c r="F170" s="45"/>
    </row>
    <row r="171" spans="1:6">
      <c r="A171" s="8" t="s">
        <v>194</v>
      </c>
      <c r="B171" s="9" t="s">
        <v>120</v>
      </c>
      <c r="C171" s="29">
        <v>852</v>
      </c>
      <c r="D171" s="10" t="str">
        <f t="array" ref="D171">IF(LENB(B171) = 0, "", _xlfn.IFNA(INDEX(Inv_Model_Names, MATCH(1, (Inv_Part_Num=B171)*1,  0)), ""))</f>
        <v>FREIGHTLINER CASCADIA half conv. Cab 08-20 L</v>
      </c>
      <c r="E171" s="10"/>
      <c r="F171" s="45"/>
    </row>
    <row r="172" spans="1:6">
      <c r="A172" s="8" t="s">
        <v>194</v>
      </c>
      <c r="B172" s="9" t="s">
        <v>32</v>
      </c>
      <c r="C172" s="29">
        <v>777</v>
      </c>
      <c r="D172" s="10" t="str">
        <f t="array" ref="D172">IF(LENB(B172) = 0, "", _xlfn.IFNA(INDEX(Inv_Model_Names, MATCH(1, (Inv_Part_Num=B172)*1,  0)), ""))</f>
        <v>FREIGHTLINER CASCADIA (LDWS &amp; RAIN SENEOR)</v>
      </c>
      <c r="E172" s="10"/>
      <c r="F172" s="45"/>
    </row>
    <row r="173" spans="1:6">
      <c r="A173" s="8" t="s">
        <v>194</v>
      </c>
      <c r="B173" s="9" t="s">
        <v>149</v>
      </c>
      <c r="C173" s="29">
        <v>777</v>
      </c>
      <c r="D173" s="10" t="str">
        <f t="array" ref="D173">IF(LENB(B173) = 0, "", _xlfn.IFNA(INDEX(Inv_Model_Names, MATCH(1, (Inv_Part_Num=B173)*1,  0)), ""))</f>
        <v>volvo heated VHD 10-17</v>
      </c>
      <c r="E173" s="10"/>
      <c r="F173" s="45"/>
    </row>
    <row r="174" spans="1:6">
      <c r="A174" s="8" t="s">
        <v>194</v>
      </c>
      <c r="B174" s="9" t="s">
        <v>41</v>
      </c>
      <c r="C174" s="29">
        <v>777</v>
      </c>
      <c r="D174" s="10" t="str">
        <f t="array" ref="D174">IF(LENB(B174) = 0, "", _xlfn.IFNA(INDEX(Inv_Model_Names, MATCH(1, (Inv_Part_Num=B174)*1,  0)), ""))</f>
        <v>FREIGHTLINER corornado Century class conv. cab 96-18 L</v>
      </c>
      <c r="E174" s="10"/>
      <c r="F174" s="34"/>
    </row>
    <row r="175" spans="1:6">
      <c r="A175" s="8" t="s">
        <v>195</v>
      </c>
      <c r="B175" s="9" t="s">
        <v>12</v>
      </c>
      <c r="C175" s="29">
        <v>777</v>
      </c>
      <c r="D175" s="10" t="str">
        <f t="array" ref="D175">IF(LENB(B175) = 0, "", _xlfn.IFNA(INDEX(Inv_Model_Names, MATCH(1, (Inv_Part_Num=B175)*1,  0)), ""))</f>
        <v>volvo VN series 97-14</v>
      </c>
      <c r="E175" s="10"/>
      <c r="F175" s="45"/>
    </row>
    <row r="176" spans="1:6">
      <c r="A176" s="8" t="s">
        <v>195</v>
      </c>
      <c r="B176" s="9" t="s">
        <v>88</v>
      </c>
      <c r="C176" s="29">
        <v>777</v>
      </c>
      <c r="D176" s="10" t="str">
        <f t="array" ref="D176">IF(LENB(B176) = 0, "", _xlfn.IFNA(INDEX(Inv_Model_Names, MATCH(1, (Inv_Part_Num=B176)*1,  0)), ""))</f>
        <v xml:space="preserve">kenworth t680 12-21/t880 conv. Cab </v>
      </c>
      <c r="E176" s="10"/>
      <c r="F176" s="45"/>
    </row>
    <row r="177" spans="1:6">
      <c r="A177" s="8" t="s">
        <v>195</v>
      </c>
      <c r="B177" s="9" t="s">
        <v>23</v>
      </c>
      <c r="C177" s="29">
        <v>777</v>
      </c>
      <c r="D177" s="10" t="str">
        <f t="array" ref="D177">IF(LENB(B177) = 0, "", _xlfn.IFNA(INDEX(Inv_Model_Names, MATCH(1, (Inv_Part_Num=B177)*1,  0)), ""))</f>
        <v xml:space="preserve">FREIGHTLINER CASCADIA conv. Cab 17-22  </v>
      </c>
      <c r="E177" s="10"/>
      <c r="F177" s="45"/>
    </row>
    <row r="178" spans="1:6">
      <c r="A178" s="8" t="s">
        <v>195</v>
      </c>
      <c r="B178" s="9" t="s">
        <v>45</v>
      </c>
      <c r="C178" s="29">
        <v>777</v>
      </c>
      <c r="D178" s="10" t="str">
        <f t="array" ref="D178">IF(LENB(B178) = 0, "", _xlfn.IFNA(INDEX(Inv_Model_Names, MATCH(1, (Inv_Part_Num=B178)*1,  0)), ""))</f>
        <v>FREIGHTLINER CASCADIA half conv. Cab 08-19 R</v>
      </c>
      <c r="E178" s="10"/>
      <c r="F178" s="45"/>
    </row>
    <row r="179" spans="1:6">
      <c r="A179" s="8" t="s">
        <v>195</v>
      </c>
      <c r="B179" s="9" t="s">
        <v>120</v>
      </c>
      <c r="C179" s="29">
        <v>777</v>
      </c>
      <c r="D179" s="10" t="str">
        <f t="array" ref="D179">IF(LENB(B179) = 0, "", _xlfn.IFNA(INDEX(Inv_Model_Names, MATCH(1, (Inv_Part_Num=B179)*1,  0)), ""))</f>
        <v>FREIGHTLINER CASCADIA half conv. Cab 08-20 L</v>
      </c>
      <c r="E179" s="10"/>
      <c r="F179" s="45"/>
    </row>
    <row r="180" spans="1:6">
      <c r="A180" s="8" t="s">
        <v>195</v>
      </c>
      <c r="B180" s="9" t="s">
        <v>32</v>
      </c>
      <c r="C180" s="29">
        <v>777</v>
      </c>
      <c r="D180" s="10" t="str">
        <f t="array" ref="D180">IF(LENB(B180) = 0, "", _xlfn.IFNA(INDEX(Inv_Model_Names, MATCH(1, (Inv_Part_Num=B180)*1,  0)), ""))</f>
        <v>FREIGHTLINER CASCADIA (LDWS &amp; RAIN SENEOR)</v>
      </c>
      <c r="E180" s="10"/>
      <c r="F180" s="45"/>
    </row>
    <row r="181" spans="1:6">
      <c r="A181" s="8" t="s">
        <v>195</v>
      </c>
      <c r="B181" s="9" t="s">
        <v>36</v>
      </c>
      <c r="C181" s="29">
        <v>777</v>
      </c>
      <c r="D181" s="10" t="str">
        <f t="array" ref="D181">IF(LENB(B181) = 0, "", _xlfn.IFNA(INDEX(Inv_Model_Names, MATCH(1, (Inv_Part_Num=B181)*1,  0)), ""))</f>
        <v>FREIGHTLINER CASCADIA LDWS conv. Cab 17-22</v>
      </c>
      <c r="E181" s="10"/>
      <c r="F181" s="45"/>
    </row>
    <row r="182" spans="1:6">
      <c r="A182" s="8" t="s">
        <v>195</v>
      </c>
      <c r="B182" s="9" t="s">
        <v>121</v>
      </c>
      <c r="C182" s="29">
        <v>777</v>
      </c>
      <c r="D182" s="10" t="str">
        <f t="array" ref="D182">IF(LENB(B182) = 0, "", _xlfn.IFNA(INDEX(Inv_Model_Names, MATCH(1, (Inv_Part_Num=B182)*1,  0)), ""))</f>
        <v>Internaltional LT</v>
      </c>
      <c r="E182" s="10"/>
      <c r="F182" s="45"/>
    </row>
    <row r="183" spans="1:6">
      <c r="A183" s="8" t="s">
        <v>196</v>
      </c>
      <c r="B183" s="9" t="s">
        <v>197</v>
      </c>
      <c r="C183" s="29">
        <v>777</v>
      </c>
      <c r="D183" s="10" t="str">
        <f t="array" ref="D183">IF(LENB(B183) = 0, "", _xlfn.IFNA(INDEX(Inv_Model_Names, MATCH(1, (Inv_Part_Num=B183)*1,  0)), ""))</f>
        <v/>
      </c>
      <c r="E183" s="10"/>
      <c r="F183" s="45"/>
    </row>
    <row r="184" spans="1:6">
      <c r="A184" s="8" t="s">
        <v>196</v>
      </c>
      <c r="B184" s="9" t="s">
        <v>32</v>
      </c>
      <c r="C184" s="29">
        <v>777</v>
      </c>
      <c r="D184" s="10" t="str">
        <f t="array" ref="D184">IF(LENB(B184) = 0, "", _xlfn.IFNA(INDEX(Inv_Model_Names, MATCH(1, (Inv_Part_Num=B184)*1,  0)), ""))</f>
        <v>FREIGHTLINER CASCADIA (LDWS &amp; RAIN SENEOR)</v>
      </c>
      <c r="E184" s="10"/>
      <c r="F184" s="34"/>
    </row>
    <row r="185" spans="1:6">
      <c r="A185" s="8" t="s">
        <v>196</v>
      </c>
      <c r="B185" s="9" t="s">
        <v>121</v>
      </c>
      <c r="C185" s="29">
        <v>777</v>
      </c>
      <c r="D185" s="10" t="str">
        <f t="array" ref="D185">IF(LENB(B185) = 0, "", _xlfn.IFNA(INDEX(Inv_Model_Names, MATCH(1, (Inv_Part_Num=B185)*1,  0)), ""))</f>
        <v>Internaltional LT</v>
      </c>
      <c r="E185" s="10"/>
      <c r="F185" s="45"/>
    </row>
    <row r="186" spans="1:6">
      <c r="A186" s="8" t="s">
        <v>196</v>
      </c>
      <c r="B186" s="9" t="s">
        <v>12</v>
      </c>
      <c r="C186" s="29">
        <v>777</v>
      </c>
      <c r="D186" s="10" t="str">
        <f t="array" ref="D186">IF(LENB(B186) = 0, "", _xlfn.IFNA(INDEX(Inv_Model_Names, MATCH(1, (Inv_Part_Num=B186)*1,  0)), ""))</f>
        <v>volvo VN series 97-14</v>
      </c>
      <c r="E186" s="10"/>
      <c r="F186" s="45"/>
    </row>
    <row r="187" spans="1:6">
      <c r="A187" s="8" t="s">
        <v>196</v>
      </c>
      <c r="B187" s="9" t="s">
        <v>127</v>
      </c>
      <c r="C187" s="29">
        <v>888</v>
      </c>
      <c r="D187" s="10" t="str">
        <f t="array" ref="D187">IF(LENB(B187) = 0, "", _xlfn.IFNA(INDEX(Inv_Model_Names, MATCH(1, (Inv_Part_Num=B187)*1,  0)), ""))</f>
        <v/>
      </c>
      <c r="E187" s="10"/>
      <c r="F187" s="45"/>
    </row>
    <row r="188" spans="1:6">
      <c r="A188" s="8" t="s">
        <v>198</v>
      </c>
      <c r="B188" s="9" t="s">
        <v>23</v>
      </c>
      <c r="C188" s="29">
        <v>555</v>
      </c>
      <c r="D188" s="10" t="str">
        <f t="array" ref="D188">IF(LENB(B188) = 0, "", _xlfn.IFNA(INDEX(Inv_Model_Names, MATCH(1, (Inv_Part_Num=B188)*1,  0)), ""))</f>
        <v xml:space="preserve">FREIGHTLINER CASCADIA conv. Cab 17-22  </v>
      </c>
      <c r="E188" s="10"/>
      <c r="F188" s="34"/>
    </row>
    <row r="189" spans="1:6">
      <c r="A189" s="8" t="s">
        <v>198</v>
      </c>
      <c r="B189" s="9" t="s">
        <v>120</v>
      </c>
      <c r="C189" s="29">
        <v>222</v>
      </c>
      <c r="D189" s="10" t="str">
        <f t="array" ref="D189">IF(LENB(B189) = 0, "", _xlfn.IFNA(INDEX(Inv_Model_Names, MATCH(1, (Inv_Part_Num=B189)*1,  0)), ""))</f>
        <v>FREIGHTLINER CASCADIA half conv. Cab 08-20 L</v>
      </c>
      <c r="E189" s="10"/>
      <c r="F189" s="45"/>
    </row>
    <row r="190" spans="1:6">
      <c r="A190" s="8" t="s">
        <v>198</v>
      </c>
      <c r="B190" s="9" t="s">
        <v>88</v>
      </c>
      <c r="C190" s="29">
        <v>222</v>
      </c>
      <c r="D190" s="10" t="str">
        <f t="array" ref="D190">IF(LENB(B190) = 0, "", _xlfn.IFNA(INDEX(Inv_Model_Names, MATCH(1, (Inv_Part_Num=B190)*1,  0)), ""))</f>
        <v xml:space="preserve">kenworth t680 12-21/t880 conv. Cab </v>
      </c>
      <c r="E190" s="10"/>
      <c r="F190" s="34"/>
    </row>
    <row r="191" spans="1:6">
      <c r="A191" s="8" t="s">
        <v>199</v>
      </c>
      <c r="B191" s="9" t="s">
        <v>23</v>
      </c>
      <c r="C191" s="29">
        <v>222</v>
      </c>
      <c r="D191" s="10" t="str">
        <f t="array" ref="D191">IF(LENB(B191) = 0, "", _xlfn.IFNA(INDEX(Inv_Model_Names, MATCH(1, (Inv_Part_Num=B191)*1,  0)), ""))</f>
        <v xml:space="preserve">FREIGHTLINER CASCADIA conv. Cab 17-22  </v>
      </c>
      <c r="E191" s="10"/>
      <c r="F191" s="34"/>
    </row>
    <row r="192" spans="1:6">
      <c r="A192" s="8" t="s">
        <v>199</v>
      </c>
      <c r="B192" s="9" t="s">
        <v>32</v>
      </c>
      <c r="C192" s="29">
        <v>333</v>
      </c>
      <c r="D192" s="10" t="str">
        <f t="array" ref="D192">IF(LENB(B192) = 0, "", _xlfn.IFNA(INDEX(Inv_Model_Names, MATCH(1, (Inv_Part_Num=B192)*1,  0)), ""))</f>
        <v>FREIGHTLINER CASCADIA (LDWS &amp; RAIN SENEOR)</v>
      </c>
      <c r="E192" s="10"/>
      <c r="F192" s="45"/>
    </row>
    <row r="193" spans="1:6">
      <c r="A193" s="8" t="s">
        <v>199</v>
      </c>
      <c r="B193" s="9" t="s">
        <v>88</v>
      </c>
      <c r="C193" s="29">
        <v>333</v>
      </c>
      <c r="D193" s="10" t="str">
        <f t="array" ref="D193">IF(LENB(B193) = 0, "", _xlfn.IFNA(INDEX(Inv_Model_Names, MATCH(1, (Inv_Part_Num=B193)*1,  0)), ""))</f>
        <v xml:space="preserve">kenworth t680 12-21/t880 conv. Cab </v>
      </c>
      <c r="E193" s="10"/>
      <c r="F193" s="45"/>
    </row>
    <row r="194" spans="1:6">
      <c r="A194" s="8" t="s">
        <v>199</v>
      </c>
      <c r="B194" s="9" t="s">
        <v>200</v>
      </c>
      <c r="C194" s="29">
        <v>333</v>
      </c>
      <c r="D194" s="10" t="str">
        <f t="array" ref="D194">IF(LENB(B194) = 0, "", _xlfn.IFNA(INDEX(Inv_Model_Names, MATCH(1, (Inv_Part_Num=B194)*1,  0)), ""))</f>
        <v/>
      </c>
      <c r="E194" s="10"/>
      <c r="F194" s="45"/>
    </row>
    <row r="195" spans="1:6">
      <c r="A195" s="8" t="s">
        <v>199</v>
      </c>
      <c r="B195" s="9" t="s">
        <v>124</v>
      </c>
      <c r="C195" s="29">
        <v>333</v>
      </c>
      <c r="D195" s="10" t="str">
        <f t="array" ref="D195">IF(LENB(B195) = 0, "", _xlfn.IFNA(INDEX(Inv_Model_Names, MATCH(1, (Inv_Part_Num=B195)*1,  0)), ""))</f>
        <v>FREIGHTLINER Century Class C112/120.122SD conv. Cab 96-18 R</v>
      </c>
      <c r="E195" s="10"/>
      <c r="F195" s="45"/>
    </row>
    <row r="196" spans="1:6">
      <c r="A196" s="8" t="s">
        <v>199</v>
      </c>
      <c r="B196" s="9" t="s">
        <v>12</v>
      </c>
      <c r="C196" s="29">
        <v>333</v>
      </c>
      <c r="D196" s="10" t="str">
        <f t="array" ref="D196">IF(LENB(B196) = 0, "", _xlfn.IFNA(INDEX(Inv_Model_Names, MATCH(1, (Inv_Part_Num=B196)*1,  0)), ""))</f>
        <v>volvo VN series 97-14</v>
      </c>
      <c r="E196" s="10"/>
      <c r="F196" s="45"/>
    </row>
    <row r="197" spans="1:6">
      <c r="A197" s="8" t="s">
        <v>199</v>
      </c>
      <c r="B197" s="9" t="s">
        <v>45</v>
      </c>
      <c r="C197" s="29">
        <v>333</v>
      </c>
      <c r="D197" s="10" t="str">
        <f t="array" ref="D197">IF(LENB(B197) = 0, "", _xlfn.IFNA(INDEX(Inv_Model_Names, MATCH(1, (Inv_Part_Num=B197)*1,  0)), ""))</f>
        <v>FREIGHTLINER CASCADIA half conv. Cab 08-19 R</v>
      </c>
      <c r="E197" s="10"/>
      <c r="F197" s="45"/>
    </row>
    <row r="198" spans="1:6">
      <c r="A198" s="8" t="s">
        <v>199</v>
      </c>
      <c r="B198" s="9" t="s">
        <v>36</v>
      </c>
      <c r="C198" s="29">
        <v>33</v>
      </c>
      <c r="D198" s="10" t="str">
        <f t="array" ref="D198">IF(LENB(B198) = 0, "", _xlfn.IFNA(INDEX(Inv_Model_Names, MATCH(1, (Inv_Part_Num=B198)*1,  0)), ""))</f>
        <v>FREIGHTLINER CASCADIA LDWS conv. Cab 17-22</v>
      </c>
      <c r="E198" s="10"/>
      <c r="F198" s="34"/>
    </row>
    <row r="199" spans="1:6">
      <c r="A199" s="8" t="s">
        <v>199</v>
      </c>
      <c r="B199" s="9" t="s">
        <v>36</v>
      </c>
      <c r="C199" s="29">
        <v>33</v>
      </c>
      <c r="D199" s="10" t="str">
        <f t="array" ref="D199">IF(LENB(B199) = 0, "", _xlfn.IFNA(INDEX(Inv_Model_Names, MATCH(1, (Inv_Part_Num=B199)*1,  0)), ""))</f>
        <v>FREIGHTLINER CASCADIA LDWS conv. Cab 17-22</v>
      </c>
      <c r="E199" s="10"/>
      <c r="F199" s="34"/>
    </row>
    <row r="200" spans="1:6">
      <c r="A200" s="8" t="s">
        <v>201</v>
      </c>
      <c r="B200" s="9" t="s">
        <v>12</v>
      </c>
      <c r="C200" s="29">
        <v>33</v>
      </c>
      <c r="D200" s="10" t="str">
        <f t="array" ref="D200">IF(LENB(B200) = 0, "", _xlfn.IFNA(INDEX(Inv_Model_Names, MATCH(1, (Inv_Part_Num=B200)*1,  0)), ""))</f>
        <v>volvo VN series 97-14</v>
      </c>
      <c r="E200" s="10"/>
      <c r="F200" s="34"/>
    </row>
    <row r="201" spans="1:6">
      <c r="A201" s="8" t="s">
        <v>201</v>
      </c>
      <c r="B201" s="9" t="s">
        <v>88</v>
      </c>
      <c r="C201" s="29">
        <v>33</v>
      </c>
      <c r="D201" s="10" t="str">
        <f t="array" ref="D201">IF(LENB(B201) = 0, "", _xlfn.IFNA(INDEX(Inv_Model_Names, MATCH(1, (Inv_Part_Num=B201)*1,  0)), ""))</f>
        <v xml:space="preserve">kenworth t680 12-21/t880 conv. Cab </v>
      </c>
      <c r="E201" s="10"/>
      <c r="F201" s="45"/>
    </row>
    <row r="202" spans="1:6">
      <c r="A202" s="8" t="s">
        <v>201</v>
      </c>
      <c r="B202" s="9" t="s">
        <v>23</v>
      </c>
      <c r="C202" s="29">
        <v>33</v>
      </c>
      <c r="D202" s="10" t="str">
        <f t="array" ref="D202">IF(LENB(B202) = 0, "", _xlfn.IFNA(INDEX(Inv_Model_Names, MATCH(1, (Inv_Part_Num=B202)*1,  0)), ""))</f>
        <v xml:space="preserve">FREIGHTLINER CASCADIA conv. Cab 17-22  </v>
      </c>
      <c r="E202" s="10"/>
      <c r="F202" s="45"/>
    </row>
    <row r="203" spans="1:6">
      <c r="A203" s="8" t="s">
        <v>201</v>
      </c>
      <c r="B203" s="9" t="s">
        <v>120</v>
      </c>
      <c r="C203" s="29">
        <v>33</v>
      </c>
      <c r="D203" s="10" t="str">
        <f t="array" ref="D203">IF(LENB(B203) = 0, "", _xlfn.IFNA(INDEX(Inv_Model_Names, MATCH(1, (Inv_Part_Num=B203)*1,  0)), ""))</f>
        <v>FREIGHTLINER CASCADIA half conv. Cab 08-20 L</v>
      </c>
      <c r="E203" s="10"/>
      <c r="F203" s="45"/>
    </row>
    <row r="204" spans="1:6">
      <c r="A204" s="8" t="s">
        <v>201</v>
      </c>
      <c r="B204" s="9" t="s">
        <v>137</v>
      </c>
      <c r="C204" s="29">
        <v>33</v>
      </c>
      <c r="D204" s="10" t="str">
        <f t="array" ref="D204">IF(LENB(B204) = 0, "", _xlfn.IFNA(INDEX(Inv_Model_Names, MATCH(1, (Inv_Part_Num=B204)*1,  0)), ""))</f>
        <v>FREIGHTLINER M2 Business Class 4D conv. Cab+ext cab 03</v>
      </c>
      <c r="E204" s="10"/>
      <c r="F204" s="45"/>
    </row>
    <row r="205" spans="1:6">
      <c r="A205" s="8" t="s">
        <v>201</v>
      </c>
      <c r="B205" s="9" t="s">
        <v>124</v>
      </c>
      <c r="C205" s="29">
        <v>33</v>
      </c>
      <c r="D205" s="10" t="str">
        <f t="array" ref="D205">IF(LENB(B205) = 0, "", _xlfn.IFNA(INDEX(Inv_Model_Names, MATCH(1, (Inv_Part_Num=B205)*1,  0)), ""))</f>
        <v>FREIGHTLINER Century Class C112/120.122SD conv. Cab 96-18 R</v>
      </c>
      <c r="E205" s="10"/>
      <c r="F205" s="45"/>
    </row>
    <row r="206" spans="1:6">
      <c r="A206" s="8" t="s">
        <v>201</v>
      </c>
      <c r="B206" s="9" t="s">
        <v>121</v>
      </c>
      <c r="C206" s="29">
        <v>33</v>
      </c>
      <c r="D206" s="10" t="str">
        <f t="array" ref="D206">IF(LENB(B206) = 0, "", _xlfn.IFNA(INDEX(Inv_Model_Names, MATCH(1, (Inv_Part_Num=B206)*1,  0)), ""))</f>
        <v>Internaltional LT</v>
      </c>
      <c r="E206" s="10"/>
      <c r="F206" s="34"/>
    </row>
    <row r="207" spans="1:6">
      <c r="A207" s="8" t="s">
        <v>202</v>
      </c>
      <c r="B207" s="9" t="s">
        <v>134</v>
      </c>
      <c r="C207" s="29">
        <v>303</v>
      </c>
      <c r="D207" s="10" t="str">
        <f t="array" ref="D207">IF(LENB(B207) = 0, "", _xlfn.IFNA(INDEX(Inv_Model_Names, MATCH(1, (Inv_Part_Num=B207)*1,  0)), ""))</f>
        <v/>
      </c>
      <c r="E207" s="10"/>
      <c r="F207" s="45"/>
    </row>
    <row r="208" spans="1:6">
      <c r="A208" s="8" t="s">
        <v>203</v>
      </c>
      <c r="B208" s="9" t="s">
        <v>12</v>
      </c>
      <c r="C208" s="29">
        <v>363</v>
      </c>
      <c r="D208" s="10" t="str">
        <f t="array" ref="D208">IF(LENB(B208) = 0, "", _xlfn.IFNA(INDEX(Inv_Model_Names, MATCH(1, (Inv_Part_Num=B208)*1,  0)), ""))</f>
        <v>volvo VN series 97-14</v>
      </c>
      <c r="E208" s="10"/>
      <c r="F208" s="34"/>
    </row>
    <row r="209" spans="1:6">
      <c r="A209" s="8" t="s">
        <v>203</v>
      </c>
      <c r="B209" s="9" t="s">
        <v>36</v>
      </c>
      <c r="C209" s="29">
        <v>156</v>
      </c>
      <c r="D209" s="10" t="str">
        <f t="array" ref="D209">IF(LENB(B209) = 0, "", _xlfn.IFNA(INDEX(Inv_Model_Names, MATCH(1, (Inv_Part_Num=B209)*1,  0)), ""))</f>
        <v>FREIGHTLINER CASCADIA LDWS conv. Cab 17-22</v>
      </c>
      <c r="E209" s="10"/>
      <c r="F209" s="34"/>
    </row>
    <row r="210" spans="1:6">
      <c r="A210" s="8" t="s">
        <v>204</v>
      </c>
      <c r="B210" s="9" t="s">
        <v>32</v>
      </c>
      <c r="C210" s="29">
        <v>133</v>
      </c>
      <c r="D210" s="10" t="str">
        <f t="array" ref="D210">IF(LENB(B210) = 0, "", _xlfn.IFNA(INDEX(Inv_Model_Names, MATCH(1, (Inv_Part_Num=B210)*1,  0)), ""))</f>
        <v>FREIGHTLINER CASCADIA (LDWS &amp; RAIN SENEOR)</v>
      </c>
      <c r="E210" s="10"/>
      <c r="F210" s="45"/>
    </row>
    <row r="211" spans="1:6">
      <c r="A211" s="8" t="s">
        <v>205</v>
      </c>
      <c r="B211" s="9" t="s">
        <v>45</v>
      </c>
      <c r="C211" s="29">
        <v>258</v>
      </c>
      <c r="D211" s="10" t="str">
        <f t="array" ref="D211">IF(LENB(B211) = 0, "", _xlfn.IFNA(INDEX(Inv_Model_Names, MATCH(1, (Inv_Part_Num=B211)*1,  0)), ""))</f>
        <v>FREIGHTLINER CASCADIA half conv. Cab 08-19 R</v>
      </c>
      <c r="E211" s="10"/>
      <c r="F211" s="34"/>
    </row>
    <row r="212" spans="1:6">
      <c r="A212" s="8" t="s">
        <v>206</v>
      </c>
      <c r="B212" s="9" t="s">
        <v>207</v>
      </c>
      <c r="C212" s="29">
        <v>257</v>
      </c>
      <c r="D212" s="10" t="str">
        <f t="array" ref="D212">IF(LENB(B212) = 0, "", _xlfn.IFNA(INDEX(Inv_Model_Names, MATCH(1, (Inv_Part_Num=B212)*1,  0)), ""))</f>
        <v>Ford F-350 Back Glass Power Slide</v>
      </c>
      <c r="E212" s="10"/>
      <c r="F212" s="34"/>
    </row>
    <row r="213" spans="1:6">
      <c r="A213" s="8" t="s">
        <v>206</v>
      </c>
      <c r="B213" s="9" t="s">
        <v>85</v>
      </c>
      <c r="C213" s="29">
        <v>11</v>
      </c>
      <c r="D213" s="10" t="str">
        <f t="array" ref="D213">IF(LENB(B213) = 0, "", _xlfn.IFNA(INDEX(Inv_Model_Names, MATCH(1, (Inv_Part_Num=B213)*1,  0)), ""))</f>
        <v>Ford 250-550-2D and 2D/4D super cab  15-22</v>
      </c>
      <c r="E213" s="10"/>
      <c r="F213" s="45"/>
    </row>
    <row r="214" spans="1:6">
      <c r="A214" s="8" t="s">
        <v>206</v>
      </c>
      <c r="B214" s="9" t="s">
        <v>208</v>
      </c>
      <c r="C214" s="29">
        <v>11</v>
      </c>
      <c r="D214" s="10" t="str">
        <f t="array" ref="D214">IF(LENB(B214) = 0, "", _xlfn.IFNA(INDEX(Inv_Model_Names, MATCH(1, (Inv_Part_Num=B214)*1,  0)), ""))</f>
        <v>Ford F series-2D super cab -17</v>
      </c>
      <c r="E214" s="10"/>
      <c r="F214" s="45"/>
    </row>
    <row r="215" spans="1:6">
      <c r="A215" s="8" t="s">
        <v>206</v>
      </c>
      <c r="B215" s="9" t="s">
        <v>209</v>
      </c>
      <c r="C215" s="29">
        <v>11</v>
      </c>
      <c r="D215" s="10" t="str">
        <f t="array" ref="D215">IF(LENB(B215) = 0, "", _xlfn.IFNA(INDEX(Inv_Model_Names, MATCH(1, (Inv_Part_Num=B215)*1,  0)), ""))</f>
        <v/>
      </c>
      <c r="E215" s="10"/>
      <c r="F215" s="45"/>
    </row>
    <row r="216" spans="1:6">
      <c r="A216" s="8" t="s">
        <v>206</v>
      </c>
      <c r="B216" s="9" t="s">
        <v>210</v>
      </c>
      <c r="C216" s="29">
        <v>11</v>
      </c>
      <c r="D216" s="10" t="str">
        <f t="array" ref="D216">IF(LENB(B216) = 0, "", _xlfn.IFNA(INDEX(Inv_Model_Names, MATCH(1, (Inv_Part_Num=B216)*1,  0)), ""))</f>
        <v/>
      </c>
      <c r="E216" s="10"/>
      <c r="F216" s="45"/>
    </row>
    <row r="217" spans="1:6">
      <c r="A217" s="8" t="s">
        <v>206</v>
      </c>
      <c r="B217" s="9" t="s">
        <v>211</v>
      </c>
      <c r="C217" s="29">
        <v>11</v>
      </c>
      <c r="D217" s="10" t="str">
        <f t="array" ref="D217">IF(LENB(B217) = 0, "", _xlfn.IFNA(INDEX(Inv_Model_Names, MATCH(1, (Inv_Part_Num=B217)*1,  0)), ""))</f>
        <v/>
      </c>
      <c r="E217" s="10"/>
      <c r="F217" s="45"/>
    </row>
    <row r="218" spans="1:6">
      <c r="A218" s="8" t="s">
        <v>206</v>
      </c>
      <c r="B218" s="9" t="s">
        <v>212</v>
      </c>
      <c r="C218" s="29">
        <v>11</v>
      </c>
      <c r="D218" s="10" t="str">
        <f t="array" ref="D218">IF(LENB(B218) = 0, "", _xlfn.IFNA(INDEX(Inv_Model_Names, MATCH(1, (Inv_Part_Num=B218)*1,  0)), ""))</f>
        <v/>
      </c>
      <c r="E218" s="10"/>
      <c r="F218" s="45"/>
    </row>
    <row r="219" spans="1:6">
      <c r="A219" s="8" t="s">
        <v>206</v>
      </c>
      <c r="B219" s="9" t="s">
        <v>213</v>
      </c>
      <c r="C219" s="29">
        <v>11</v>
      </c>
      <c r="D219" s="10" t="str">
        <f t="array" ref="D219">IF(LENB(B219) = 0, "", _xlfn.IFNA(INDEX(Inv_Model_Names, MATCH(1, (Inv_Part_Num=B219)*1,  0)), ""))</f>
        <v/>
      </c>
      <c r="E219" s="10"/>
      <c r="F219" s="45"/>
    </row>
    <row r="220" spans="1:6">
      <c r="A220" s="8" t="s">
        <v>214</v>
      </c>
      <c r="B220" s="9" t="s">
        <v>137</v>
      </c>
      <c r="C220" s="29">
        <v>11</v>
      </c>
      <c r="D220" s="10" t="str">
        <f t="array" ref="D220">IF(LENB(B220) = 0, "", _xlfn.IFNA(INDEX(Inv_Model_Names, MATCH(1, (Inv_Part_Num=B220)*1,  0)), ""))</f>
        <v>FREIGHTLINER M2 Business Class 4D conv. Cab+ext cab 03</v>
      </c>
      <c r="E220" s="10"/>
      <c r="F220" s="45"/>
    </row>
    <row r="221" spans="1:6">
      <c r="A221" s="8" t="s">
        <v>215</v>
      </c>
      <c r="B221" s="9" t="s">
        <v>23</v>
      </c>
      <c r="C221" s="29">
        <v>22</v>
      </c>
      <c r="D221" s="10" t="str">
        <f t="array" ref="D221">IF(LENB(B221) = 0, "", _xlfn.IFNA(INDEX(Inv_Model_Names, MATCH(1, (Inv_Part_Num=B221)*1,  0)), ""))</f>
        <v xml:space="preserve">FREIGHTLINER CASCADIA conv. Cab 17-22  </v>
      </c>
      <c r="E221" s="10"/>
      <c r="F221" s="34"/>
    </row>
    <row r="222" spans="1:6">
      <c r="A222" s="8" t="s">
        <v>216</v>
      </c>
      <c r="B222" s="9" t="s">
        <v>23</v>
      </c>
      <c r="C222" s="29">
        <v>22</v>
      </c>
      <c r="D222" s="10" t="str">
        <f t="array" ref="D222">IF(LENB(B222) = 0, "", _xlfn.IFNA(INDEX(Inv_Model_Names, MATCH(1, (Inv_Part_Num=B222)*1,  0)), ""))</f>
        <v xml:space="preserve">FREIGHTLINER CASCADIA conv. Cab 17-22  </v>
      </c>
      <c r="E222" s="10"/>
      <c r="F222" s="45"/>
    </row>
    <row r="223" spans="1:6">
      <c r="A223" s="8" t="s">
        <v>216</v>
      </c>
      <c r="B223" s="9" t="s">
        <v>23</v>
      </c>
      <c r="C223" s="29">
        <v>22</v>
      </c>
      <c r="D223" s="10" t="str">
        <f t="array" ref="D223">IF(LENB(B223) = 0, "", _xlfn.IFNA(INDEX(Inv_Model_Names, MATCH(1, (Inv_Part_Num=B223)*1,  0)), ""))</f>
        <v xml:space="preserve">FREIGHTLINER CASCADIA conv. Cab 17-22  </v>
      </c>
      <c r="E223" s="10"/>
      <c r="F223" s="45"/>
    </row>
    <row r="224" spans="1:6">
      <c r="A224" s="8" t="s">
        <v>217</v>
      </c>
      <c r="B224" s="9" t="s">
        <v>12</v>
      </c>
      <c r="C224" s="29">
        <v>22</v>
      </c>
      <c r="D224" s="10" t="str">
        <f t="array" ref="D224">IF(LENB(B224) = 0, "", _xlfn.IFNA(INDEX(Inv_Model_Names, MATCH(1, (Inv_Part_Num=B224)*1,  0)), ""))</f>
        <v>volvo VN series 97-14</v>
      </c>
      <c r="E224" s="10"/>
      <c r="F224" s="45"/>
    </row>
    <row r="225" spans="1:6">
      <c r="A225" s="8" t="s">
        <v>217</v>
      </c>
      <c r="B225" s="9" t="s">
        <v>45</v>
      </c>
      <c r="C225" s="29">
        <v>22</v>
      </c>
      <c r="D225" s="10" t="str">
        <f t="array" ref="D225">IF(LENB(B225) = 0, "", _xlfn.IFNA(INDEX(Inv_Model_Names, MATCH(1, (Inv_Part_Num=B225)*1,  0)), ""))</f>
        <v>FREIGHTLINER CASCADIA half conv. Cab 08-19 R</v>
      </c>
      <c r="E225" s="10"/>
      <c r="F225" s="34"/>
    </row>
    <row r="226" spans="1:6">
      <c r="A226" s="8" t="s">
        <v>217</v>
      </c>
      <c r="B226" s="9" t="s">
        <v>121</v>
      </c>
      <c r="C226" s="29">
        <v>676</v>
      </c>
      <c r="D226" s="10" t="str">
        <f t="array" ref="D226">IF(LENB(B226) = 0, "", _xlfn.IFNA(INDEX(Inv_Model_Names, MATCH(1, (Inv_Part_Num=B226)*1,  0)), ""))</f>
        <v>Internaltional LT</v>
      </c>
      <c r="E226" s="10"/>
      <c r="F226" s="45"/>
    </row>
    <row r="227" spans="1:6">
      <c r="A227" s="8" t="s">
        <v>217</v>
      </c>
      <c r="B227" s="9" t="s">
        <v>23</v>
      </c>
      <c r="C227" s="29">
        <v>676</v>
      </c>
      <c r="D227" s="10" t="str">
        <f t="array" ref="D227">IF(LENB(B227) = 0, "", _xlfn.IFNA(INDEX(Inv_Model_Names, MATCH(1, (Inv_Part_Num=B227)*1,  0)), ""))</f>
        <v xml:space="preserve">FREIGHTLINER CASCADIA conv. Cab 17-22  </v>
      </c>
      <c r="E227" s="10"/>
      <c r="F227" s="45"/>
    </row>
    <row r="228" spans="1:6">
      <c r="A228" s="8" t="s">
        <v>217</v>
      </c>
      <c r="B228" s="9" t="s">
        <v>88</v>
      </c>
      <c r="C228" s="29">
        <v>767</v>
      </c>
      <c r="D228" s="10" t="str">
        <f t="array" ref="D228">IF(LENB(B228) = 0, "", _xlfn.IFNA(INDEX(Inv_Model_Names, MATCH(1, (Inv_Part_Num=B228)*1,  0)), ""))</f>
        <v xml:space="preserve">kenworth t680 12-21/t880 conv. Cab </v>
      </c>
      <c r="E228" s="10"/>
      <c r="F228" s="45"/>
    </row>
    <row r="229" spans="1:6">
      <c r="A229" s="8" t="s">
        <v>217</v>
      </c>
      <c r="B229" s="9" t="s">
        <v>41</v>
      </c>
      <c r="C229" s="29">
        <v>767</v>
      </c>
      <c r="D229" s="10" t="str">
        <f t="array" ref="D229">IF(LENB(B229) = 0, "", _xlfn.IFNA(INDEX(Inv_Model_Names, MATCH(1, (Inv_Part_Num=B229)*1,  0)), ""))</f>
        <v>FREIGHTLINER corornado Century class conv. cab 96-18 L</v>
      </c>
      <c r="E229" s="10"/>
      <c r="F229" s="45"/>
    </row>
    <row r="230" spans="1:6">
      <c r="A230" s="8" t="s">
        <v>217</v>
      </c>
      <c r="B230" s="9" t="s">
        <v>32</v>
      </c>
      <c r="C230" s="29">
        <v>333</v>
      </c>
      <c r="D230" s="10" t="str">
        <f t="array" ref="D230">IF(LENB(B230) = 0, "", _xlfn.IFNA(INDEX(Inv_Model_Names, MATCH(1, (Inv_Part_Num=B230)*1,  0)), ""))</f>
        <v>FREIGHTLINER CASCADIA (LDWS &amp; RAIN SENEOR)</v>
      </c>
      <c r="E230" s="10"/>
      <c r="F230" s="45"/>
    </row>
    <row r="231" spans="1:6">
      <c r="A231" s="8" t="s">
        <v>218</v>
      </c>
      <c r="B231" s="9" t="s">
        <v>219</v>
      </c>
      <c r="C231" s="29">
        <v>333</v>
      </c>
      <c r="D231" s="10" t="str">
        <f t="array" ref="D231">IF(LENB(B231) = 0, "", _xlfn.IFNA(INDEX(Inv_Model_Names, MATCH(1, (Inv_Part_Num=B231)*1,  0)), ""))</f>
        <v xml:space="preserve">Ford F-350 LDWS Rain sensor </v>
      </c>
      <c r="E231" s="10"/>
      <c r="F231" s="45"/>
    </row>
    <row r="232" spans="1:6">
      <c r="A232" s="8" t="s">
        <v>218</v>
      </c>
      <c r="B232" s="9" t="s">
        <v>134</v>
      </c>
      <c r="C232" s="29">
        <v>555</v>
      </c>
      <c r="D232" s="10" t="str">
        <f t="array" ref="D232">IF(LENB(B232) = 0, "", _xlfn.IFNA(INDEX(Inv_Model_Names, MATCH(1, (Inv_Part_Num=B232)*1,  0)), ""))</f>
        <v/>
      </c>
      <c r="E232" s="10"/>
      <c r="F232" s="45"/>
    </row>
    <row r="233" spans="1:6">
      <c r="A233" s="8" t="s">
        <v>218</v>
      </c>
      <c r="B233" s="9" t="s">
        <v>85</v>
      </c>
      <c r="C233" s="29">
        <v>555</v>
      </c>
      <c r="D233" s="10" t="str">
        <f t="array" ref="D233">IF(LENB(B233) = 0, "", _xlfn.IFNA(INDEX(Inv_Model_Names, MATCH(1, (Inv_Part_Num=B233)*1,  0)), ""))</f>
        <v>Ford 250-550-2D and 2D/4D super cab  15-22</v>
      </c>
      <c r="E233" s="10"/>
      <c r="F233" s="45"/>
    </row>
    <row r="234" spans="1:6">
      <c r="A234" s="8" t="s">
        <v>218</v>
      </c>
      <c r="B234" s="9" t="s">
        <v>220</v>
      </c>
      <c r="C234" s="29">
        <v>555</v>
      </c>
      <c r="D234" s="10" t="str">
        <f t="array" ref="D234">IF(LENB(B234) = 0, "", _xlfn.IFNA(INDEX(Inv_Model_Names, MATCH(1, (Inv_Part_Num=B234)*1,  0)), ""))</f>
        <v/>
      </c>
      <c r="E234" s="10"/>
      <c r="F234" s="34"/>
    </row>
    <row r="235" spans="1:6">
      <c r="A235" s="8" t="s">
        <v>75</v>
      </c>
      <c r="B235" s="9" t="s">
        <v>12</v>
      </c>
      <c r="C235" s="29">
        <v>555</v>
      </c>
      <c r="D235" s="10" t="str">
        <f t="array" ref="D235">IF(LENB(B235) = 0, "", _xlfn.IFNA(INDEX(Inv_Model_Names, MATCH(1, (Inv_Part_Num=B235)*1,  0)), ""))</f>
        <v>volvo VN series 97-14</v>
      </c>
      <c r="E235" s="10"/>
      <c r="F235" s="34"/>
    </row>
    <row r="236" spans="1:6">
      <c r="A236" s="23" t="s">
        <v>79</v>
      </c>
      <c r="B236" s="9" t="s">
        <v>41</v>
      </c>
      <c r="C236" s="29">
        <v>555</v>
      </c>
      <c r="D236" s="10" t="str">
        <f t="array" ref="D236">IF(LENB(B236) = 0, "", _xlfn.IFNA(INDEX(Inv_Model_Names, MATCH(1, (Inv_Part_Num=B236)*1,  0)), ""))</f>
        <v>FREIGHTLINER corornado Century class conv. cab 96-18 L</v>
      </c>
      <c r="E236" s="10"/>
      <c r="F236" s="34"/>
    </row>
    <row r="237" spans="1:6">
      <c r="A237" s="8" t="s">
        <v>221</v>
      </c>
      <c r="B237" s="9" t="s">
        <v>23</v>
      </c>
      <c r="C237" s="29">
        <v>555</v>
      </c>
      <c r="D237" s="10" t="str">
        <f t="array" ref="D237">IF(LENB(B237) = 0, "", _xlfn.IFNA(INDEX(Inv_Model_Names, MATCH(1, (Inv_Part_Num=B237)*1,  0)), ""))</f>
        <v xml:space="preserve">FREIGHTLINER CASCADIA conv. Cab 17-22  </v>
      </c>
      <c r="E237" s="10"/>
      <c r="F237" s="45"/>
    </row>
    <row r="238" spans="1:6">
      <c r="A238" s="8" t="s">
        <v>222</v>
      </c>
      <c r="B238" s="9" t="s">
        <v>17</v>
      </c>
      <c r="C238" s="12">
        <v>123</v>
      </c>
      <c r="D238" s="10" t="s">
        <v>223</v>
      </c>
      <c r="E238" s="10"/>
      <c r="F238" s="11"/>
    </row>
    <row r="239" spans="1:6">
      <c r="A239" s="8" t="s">
        <v>222</v>
      </c>
      <c r="B239" s="9" t="s">
        <v>21</v>
      </c>
      <c r="C239" s="12">
        <v>255</v>
      </c>
      <c r="D239" s="10" t="s">
        <v>223</v>
      </c>
      <c r="E239" s="10"/>
      <c r="F239" s="10"/>
    </row>
    <row r="240" spans="1:6">
      <c r="A240" s="8" t="s">
        <v>224</v>
      </c>
      <c r="B240" s="9" t="s">
        <v>120</v>
      </c>
      <c r="C240" s="29">
        <v>133</v>
      </c>
      <c r="D240" s="10" t="str">
        <f t="array" ref="D240">IF(LENB(B240) = 0, "", _xlfn.IFNA(INDEX(Inv_Model_Names, MATCH(1, (Inv_Part_Num=B240)*1,  0)), ""))</f>
        <v>FREIGHTLINER CASCADIA half conv. Cab 08-20 L</v>
      </c>
      <c r="E240" s="10"/>
      <c r="F240" s="45"/>
    </row>
    <row r="241" spans="1:6">
      <c r="A241" s="8" t="s">
        <v>224</v>
      </c>
      <c r="B241" s="9" t="s">
        <v>137</v>
      </c>
      <c r="C241" s="29">
        <v>133</v>
      </c>
      <c r="D241" s="10" t="str">
        <f t="array" ref="D241">IF(LENB(B241) = 0, "", _xlfn.IFNA(INDEX(Inv_Model_Names, MATCH(1, (Inv_Part_Num=B241)*1,  0)), ""))</f>
        <v>FREIGHTLINER M2 Business Class 4D conv. Cab+ext cab 03</v>
      </c>
      <c r="E241" s="10"/>
      <c r="F241" s="45"/>
    </row>
    <row r="242" spans="1:6">
      <c r="A242" s="8" t="s">
        <v>224</v>
      </c>
      <c r="B242" s="9" t="s">
        <v>12</v>
      </c>
      <c r="C242" s="29">
        <v>133</v>
      </c>
      <c r="D242" s="10" t="str">
        <f t="array" ref="D242">IF(LENB(B242) = 0, "", _xlfn.IFNA(INDEX(Inv_Model_Names, MATCH(1, (Inv_Part_Num=B242)*1,  0)), ""))</f>
        <v>volvo VN series 97-14</v>
      </c>
      <c r="E242" s="10"/>
      <c r="F242" s="45"/>
    </row>
    <row r="243" spans="1:6">
      <c r="A243" s="8" t="s">
        <v>224</v>
      </c>
      <c r="B243" s="9" t="s">
        <v>23</v>
      </c>
      <c r="C243" s="29">
        <v>133</v>
      </c>
      <c r="D243" s="10" t="str">
        <f t="array" ref="D243">IF(LENB(B243) = 0, "", _xlfn.IFNA(INDEX(Inv_Model_Names, MATCH(1, (Inv_Part_Num=B243)*1,  0)), ""))</f>
        <v xml:space="preserve">FREIGHTLINER CASCADIA conv. Cab 17-22  </v>
      </c>
      <c r="E243" s="10"/>
      <c r="F243" s="34"/>
    </row>
    <row r="244" spans="1:6">
      <c r="A244" s="8" t="s">
        <v>54</v>
      </c>
      <c r="B244" s="9" t="s">
        <v>127</v>
      </c>
      <c r="C244" s="29">
        <v>133</v>
      </c>
      <c r="D244" s="10" t="str">
        <f t="array" ref="D244">IF(LENB(B244) = 0, "", _xlfn.IFNA(INDEX(Inv_Model_Names, MATCH(1, (Inv_Part_Num=B244)*1,  0)), ""))</f>
        <v/>
      </c>
      <c r="E244" s="10"/>
      <c r="F244" s="45"/>
    </row>
    <row r="245" spans="1:6">
      <c r="A245" s="8" t="s">
        <v>54</v>
      </c>
      <c r="B245" s="9" t="s">
        <v>23</v>
      </c>
      <c r="C245" s="29">
        <v>133</v>
      </c>
      <c r="D245" s="10" t="str">
        <f t="array" ref="D245">IF(LENB(B245) = 0, "", _xlfn.IFNA(INDEX(Inv_Model_Names, MATCH(1, (Inv_Part_Num=B245)*1,  0)), ""))</f>
        <v xml:space="preserve">FREIGHTLINER CASCADIA conv. Cab 17-22  </v>
      </c>
      <c r="E245" s="10"/>
      <c r="F245" s="45"/>
    </row>
    <row r="246" spans="1:6">
      <c r="A246" s="8" t="s">
        <v>225</v>
      </c>
      <c r="B246" s="9" t="s">
        <v>23</v>
      </c>
      <c r="C246" s="29">
        <v>133</v>
      </c>
      <c r="D246" s="10" t="str">
        <f t="array" ref="D246">IF(LENB(B246) = 0, "", _xlfn.IFNA(INDEX(Inv_Model_Names, MATCH(1, (Inv_Part_Num=B246)*1,  0)), ""))</f>
        <v xml:space="preserve">FREIGHTLINER CASCADIA conv. Cab 17-22  </v>
      </c>
      <c r="E246" s="10"/>
      <c r="F246" s="45"/>
    </row>
    <row r="247" spans="1:6">
      <c r="A247" s="8" t="s">
        <v>225</v>
      </c>
      <c r="B247" s="9" t="s">
        <v>120</v>
      </c>
      <c r="C247" s="29">
        <v>133</v>
      </c>
      <c r="D247" s="10" t="str">
        <f t="array" ref="D247">IF(LENB(B247) = 0, "", _xlfn.IFNA(INDEX(Inv_Model_Names, MATCH(1, (Inv_Part_Num=B247)*1,  0)), ""))</f>
        <v>FREIGHTLINER CASCADIA half conv. Cab 08-20 L</v>
      </c>
      <c r="E247" s="10"/>
      <c r="F247" s="34"/>
    </row>
    <row r="248" spans="1:6">
      <c r="A248" s="8" t="s">
        <v>226</v>
      </c>
      <c r="B248" s="9" t="s">
        <v>12</v>
      </c>
      <c r="C248" s="29">
        <v>133</v>
      </c>
      <c r="D248" s="10" t="str">
        <f t="array" ref="D248">IF(LENB(B248) = 0, "", _xlfn.IFNA(INDEX(Inv_Model_Names, MATCH(1, (Inv_Part_Num=B248)*1,  0)), ""))</f>
        <v>volvo VN series 97-14</v>
      </c>
      <c r="E248" s="10"/>
      <c r="F248" s="45"/>
    </row>
    <row r="249" spans="1:6">
      <c r="A249" s="8" t="s">
        <v>68</v>
      </c>
      <c r="B249" s="9" t="s">
        <v>23</v>
      </c>
      <c r="C249" s="29">
        <v>133</v>
      </c>
      <c r="D249" s="10" t="str">
        <f t="array" ref="D249">IF(LENB(B249) = 0, "", _xlfn.IFNA(INDEX(Inv_Model_Names, MATCH(1, (Inv_Part_Num=B249)*1,  0)), ""))</f>
        <v xml:space="preserve">FREIGHTLINER CASCADIA conv. Cab 17-22  </v>
      </c>
      <c r="E249" s="10"/>
      <c r="F249" s="34"/>
    </row>
    <row r="250" spans="1:6">
      <c r="A250" s="8" t="s">
        <v>68</v>
      </c>
      <c r="B250" s="9" t="s">
        <v>32</v>
      </c>
      <c r="C250" s="29">
        <v>133</v>
      </c>
      <c r="D250" s="10" t="str">
        <f t="array" ref="D250">IF(LENB(B250) = 0, "", _xlfn.IFNA(INDEX(Inv_Model_Names, MATCH(1, (Inv_Part_Num=B250)*1,  0)), ""))</f>
        <v>FREIGHTLINER CASCADIA (LDWS &amp; RAIN SENEOR)</v>
      </c>
      <c r="E250" s="10"/>
      <c r="F250" s="45"/>
    </row>
    <row r="251" spans="1:6">
      <c r="A251" s="8" t="s">
        <v>68</v>
      </c>
      <c r="B251" s="9" t="s">
        <v>88</v>
      </c>
      <c r="C251" s="29">
        <v>133</v>
      </c>
      <c r="D251" s="10" t="str">
        <f t="array" ref="D251">IF(LENB(B251) = 0, "", _xlfn.IFNA(INDEX(Inv_Model_Names, MATCH(1, (Inv_Part_Num=B251)*1,  0)), ""))</f>
        <v xml:space="preserve">kenworth t680 12-21/t880 conv. Cab </v>
      </c>
      <c r="E251" s="10"/>
      <c r="F251" s="45"/>
    </row>
    <row r="252" spans="1:6">
      <c r="A252" s="8" t="s">
        <v>68</v>
      </c>
      <c r="B252" s="9" t="s">
        <v>12</v>
      </c>
      <c r="C252" s="29">
        <v>133</v>
      </c>
      <c r="D252" s="10" t="str">
        <f t="array" ref="D252">IF(LENB(B252) = 0, "", _xlfn.IFNA(INDEX(Inv_Model_Names, MATCH(1, (Inv_Part_Num=B252)*1,  0)), ""))</f>
        <v>volvo VN series 97-14</v>
      </c>
      <c r="E252" s="10"/>
      <c r="F252" s="34"/>
    </row>
    <row r="253" spans="1:6">
      <c r="A253" s="8" t="s">
        <v>227</v>
      </c>
      <c r="B253" s="9" t="s">
        <v>32</v>
      </c>
      <c r="C253" s="29">
        <v>133</v>
      </c>
      <c r="D253" s="10" t="str">
        <f t="array" ref="D253">IF(LENB(B253) = 0, "", _xlfn.IFNA(INDEX(Inv_Model_Names, MATCH(1, (Inv_Part_Num=B253)*1,  0)), ""))</f>
        <v>FREIGHTLINER CASCADIA (LDWS &amp; RAIN SENEOR)</v>
      </c>
      <c r="E253" s="10"/>
      <c r="F253" s="45"/>
    </row>
    <row r="254" spans="1:6">
      <c r="A254" s="8" t="s">
        <v>227</v>
      </c>
      <c r="B254" s="9" t="s">
        <v>12</v>
      </c>
      <c r="C254" s="29">
        <v>133</v>
      </c>
      <c r="D254" s="10" t="str">
        <f t="array" ref="D254">IF(LENB(B254) = 0, "", _xlfn.IFNA(INDEX(Inv_Model_Names, MATCH(1, (Inv_Part_Num=B254)*1,  0)), ""))</f>
        <v>volvo VN series 97-14</v>
      </c>
      <c r="E254" s="10"/>
      <c r="F254" s="45"/>
    </row>
    <row r="255" spans="1:6">
      <c r="A255" s="8" t="s">
        <v>227</v>
      </c>
      <c r="B255" s="9" t="s">
        <v>88</v>
      </c>
      <c r="C255" s="29">
        <v>222</v>
      </c>
      <c r="D255" s="10" t="str">
        <f t="array" ref="D255">IF(LENB(B255) = 0, "", _xlfn.IFNA(INDEX(Inv_Model_Names, MATCH(1, (Inv_Part_Num=B255)*1,  0)), ""))</f>
        <v xml:space="preserve">kenworth t680 12-21/t880 conv. Cab </v>
      </c>
      <c r="E255" s="10"/>
      <c r="F255" s="45"/>
    </row>
    <row r="256" spans="1:6">
      <c r="A256" s="8" t="s">
        <v>228</v>
      </c>
      <c r="B256" s="9" t="s">
        <v>23</v>
      </c>
      <c r="C256" s="29">
        <v>222</v>
      </c>
      <c r="D256" s="10" t="str">
        <f t="array" ref="D256">IF(LENB(B256) = 0, "", _xlfn.IFNA(INDEX(Inv_Model_Names, MATCH(1, (Inv_Part_Num=B256)*1,  0)), ""))</f>
        <v xml:space="preserve">FREIGHTLINER CASCADIA conv. Cab 17-22  </v>
      </c>
      <c r="E256" s="10"/>
      <c r="F256" s="34"/>
    </row>
    <row r="257" spans="1:6">
      <c r="A257" s="8" t="s">
        <v>229</v>
      </c>
      <c r="B257" s="9" t="s">
        <v>23</v>
      </c>
      <c r="C257" s="29">
        <v>222</v>
      </c>
      <c r="D257" s="10" t="str">
        <f t="array" ref="D257">IF(LENB(B257) = 0, "", _xlfn.IFNA(INDEX(Inv_Model_Names, MATCH(1, (Inv_Part_Num=B257)*1,  0)), ""))</f>
        <v xml:space="preserve">FREIGHTLINER CASCADIA conv. Cab 17-22  </v>
      </c>
      <c r="E257" s="10"/>
      <c r="F257" s="45"/>
    </row>
    <row r="258" spans="1:6">
      <c r="A258" s="8" t="s">
        <v>230</v>
      </c>
      <c r="B258" s="9" t="s">
        <v>88</v>
      </c>
      <c r="C258" s="29">
        <v>233</v>
      </c>
      <c r="D258" s="10" t="str">
        <f t="array" ref="D258">IF(LENB(B258) = 0, "", _xlfn.IFNA(INDEX(Inv_Model_Names, MATCH(1, (Inv_Part_Num=B258)*1,  0)), ""))</f>
        <v xml:space="preserve">kenworth t680 12-21/t880 conv. Cab </v>
      </c>
      <c r="E258" s="10"/>
      <c r="F258" s="34"/>
    </row>
    <row r="259" spans="1:6">
      <c r="A259" s="8" t="s">
        <v>231</v>
      </c>
      <c r="B259" s="9" t="s">
        <v>232</v>
      </c>
      <c r="C259" s="29">
        <v>234</v>
      </c>
      <c r="D259" s="10" t="str">
        <f t="array" ref="D259">IF(LENB(B259) = 0, "", _xlfn.IFNA(INDEX(Inv_Model_Names, MATCH(1, (Inv_Part_Num=B259)*1,  0)), ""))</f>
        <v/>
      </c>
      <c r="E259" s="10"/>
      <c r="F259" s="34"/>
    </row>
    <row r="260" spans="1:6">
      <c r="A260" s="8" t="s">
        <v>233</v>
      </c>
      <c r="B260" s="9" t="s">
        <v>234</v>
      </c>
      <c r="C260" s="29">
        <v>233</v>
      </c>
      <c r="D260" s="10" t="str">
        <f t="array" ref="D260">IF(LENB(B260) = 0, "", _xlfn.IFNA(INDEX(Inv_Model_Names, MATCH(1, (Inv_Part_Num=B260)*1,  0)), ""))</f>
        <v/>
      </c>
      <c r="E260" s="10"/>
      <c r="F260" s="45"/>
    </row>
    <row r="261" spans="1:6">
      <c r="A261" s="8" t="s">
        <v>90</v>
      </c>
      <c r="B261" s="9" t="s">
        <v>12</v>
      </c>
      <c r="C261" s="29">
        <v>231</v>
      </c>
      <c r="D261" s="10" t="str">
        <f t="array" ref="D261">IF(LENB(B261) = 0, "", _xlfn.IFNA(INDEX(Inv_Model_Names, MATCH(1, (Inv_Part_Num=B261)*1,  0)), ""))</f>
        <v>volvo VN series 97-14</v>
      </c>
      <c r="E261" s="10"/>
      <c r="F261" s="34"/>
    </row>
    <row r="262" spans="1:6">
      <c r="A262" s="8" t="s">
        <v>90</v>
      </c>
      <c r="B262" s="9" t="s">
        <v>137</v>
      </c>
      <c r="C262" s="29">
        <v>222</v>
      </c>
      <c r="D262" s="10" t="str">
        <f t="array" ref="D262">IF(LENB(B262) = 0, "", _xlfn.IFNA(INDEX(Inv_Model_Names, MATCH(1, (Inv_Part_Num=B262)*1,  0)), ""))</f>
        <v>FREIGHTLINER M2 Business Class 4D conv. Cab+ext cab 03</v>
      </c>
      <c r="E262" s="10"/>
      <c r="F262" s="45"/>
    </row>
    <row r="263" spans="1:6">
      <c r="A263" s="8" t="s">
        <v>90</v>
      </c>
      <c r="B263" s="9" t="s">
        <v>23</v>
      </c>
      <c r="C263" s="29">
        <v>222</v>
      </c>
      <c r="D263" s="10" t="str">
        <f t="array" ref="D263">IF(LENB(B263) = 0, "", _xlfn.IFNA(INDEX(Inv_Model_Names, MATCH(1, (Inv_Part_Num=B263)*1,  0)), ""))</f>
        <v xml:space="preserve">FREIGHTLINER CASCADIA conv. Cab 17-22  </v>
      </c>
      <c r="E263" s="10"/>
      <c r="F263" s="45"/>
    </row>
    <row r="264" spans="1:6">
      <c r="A264" s="8" t="s">
        <v>90</v>
      </c>
      <c r="B264" s="9" t="s">
        <v>120</v>
      </c>
      <c r="C264" s="29">
        <v>22</v>
      </c>
      <c r="D264" s="10" t="str">
        <f t="array" ref="D264">IF(LENB(B264) = 0, "", _xlfn.IFNA(INDEX(Inv_Model_Names, MATCH(1, (Inv_Part_Num=B264)*1,  0)), ""))</f>
        <v>FREIGHTLINER CASCADIA half conv. Cab 08-20 L</v>
      </c>
      <c r="E264" s="10"/>
      <c r="F264" s="45"/>
    </row>
    <row r="265" spans="1:6">
      <c r="A265" s="8" t="s">
        <v>90</v>
      </c>
      <c r="B265" s="9" t="s">
        <v>88</v>
      </c>
      <c r="C265" s="29">
        <v>11</v>
      </c>
      <c r="D265" s="10" t="str" cm="1">
        <f t="array" ref="D265">IF(LENB(B265) = 0, "", _xlfn.IFNA(INDEX(Inv_Model_Names, MATCH(1, (Inv_Part_Num=B265)*1,  0)), ""))</f>
        <v xml:space="preserve">kenworth t680 12-21/t880 conv. Cab </v>
      </c>
      <c r="E265" s="10"/>
      <c r="F265" s="45"/>
    </row>
    <row r="266" spans="1:6">
      <c r="A266" s="8" t="s">
        <v>90</v>
      </c>
      <c r="B266" s="9" t="s">
        <v>32</v>
      </c>
      <c r="C266" s="29">
        <v>111</v>
      </c>
      <c r="D266" s="10" t="str">
        <f t="array" ref="D266">IF(LENB(B266) = 0, "", _xlfn.IFNA(INDEX(Inv_Model_Names, MATCH(1, (Inv_Part_Num=B266)*1,  0)), ""))</f>
        <v>FREIGHTLINER CASCADIA (LDWS &amp; RAIN SENEOR)</v>
      </c>
      <c r="E266" s="10"/>
      <c r="F266" s="34"/>
    </row>
    <row r="267" spans="1:6">
      <c r="A267" s="8" t="s">
        <v>235</v>
      </c>
      <c r="B267" s="9" t="s">
        <v>23</v>
      </c>
      <c r="C267" s="29">
        <v>1111</v>
      </c>
      <c r="D267" s="10" t="str">
        <f t="array" ref="D267">IF(LENB(B267) = 0, "", _xlfn.IFNA(INDEX(Inv_Model_Names, MATCH(1, (Inv_Part_Num=B267)*1,  0)), ""))</f>
        <v xml:space="preserve">FREIGHTLINER CASCADIA conv. Cab 17-22  </v>
      </c>
      <c r="E267" s="10"/>
      <c r="F267" s="45"/>
    </row>
    <row r="268" spans="1:6">
      <c r="A268" s="8" t="s">
        <v>236</v>
      </c>
      <c r="B268" s="9" t="s">
        <v>45</v>
      </c>
      <c r="C268" s="29">
        <v>111</v>
      </c>
      <c r="D268" s="10" t="str">
        <f t="array" ref="D268">IF(LENB(B268) = 0, "", _xlfn.IFNA(INDEX(Inv_Model_Names, MATCH(1, (Inv_Part_Num=B268)*1,  0)), ""))</f>
        <v>FREIGHTLINER CASCADIA half conv. Cab 08-19 R</v>
      </c>
      <c r="E268" s="10"/>
      <c r="F268" s="45"/>
    </row>
    <row r="269" spans="1:6">
      <c r="A269" s="8" t="s">
        <v>237</v>
      </c>
      <c r="B269" s="9" t="s">
        <v>23</v>
      </c>
      <c r="C269" s="12">
        <v>112</v>
      </c>
      <c r="D269" s="10" t="str">
        <f t="array" ref="D269">IF(LENB(B269) = 0, "", _xlfn.IFNA(INDEX(Inv_Model_Names, MATCH(1, (Inv_Part_Num=B269)*1,  0)), ""))</f>
        <v xml:space="preserve">FREIGHTLINER CASCADIA conv. Cab 17-22  </v>
      </c>
      <c r="E269" s="10"/>
      <c r="F269" s="11"/>
    </row>
    <row r="270" spans="1:6">
      <c r="A270" s="8" t="s">
        <v>238</v>
      </c>
      <c r="B270" s="9" t="s">
        <v>12</v>
      </c>
      <c r="C270" s="12">
        <v>233</v>
      </c>
      <c r="D270" s="10" t="str" cm="1">
        <f t="array" ref="D270">IF(LENB(B270) = 0, "", _xlfn.IFNA(INDEX(Inv_Model_Names, MATCH(1, (Inv_Part_Num=B270)*1,  0)), ""))</f>
        <v>volvo VN series 97-14</v>
      </c>
      <c r="E270" s="10"/>
      <c r="F270" s="11"/>
    </row>
    <row r="271" spans="1:6">
      <c r="A271" s="8" t="s">
        <v>239</v>
      </c>
      <c r="B271" s="9" t="s">
        <v>23</v>
      </c>
      <c r="C271" s="12">
        <v>133</v>
      </c>
      <c r="D271" s="10" t="str" cm="1">
        <f t="array" ref="D271">IF(LENB(B271) = 0, "", _xlfn.IFNA(INDEX(Inv_Model_Names, MATCH(1, (Inv_Part_Num=B271)*1,  0)), ""))</f>
        <v xml:space="preserve">FREIGHTLINER CASCADIA conv. Cab 17-22  </v>
      </c>
      <c r="E271" s="10"/>
      <c r="F271" s="11"/>
    </row>
    <row r="272" spans="1:6">
      <c r="A272" s="8" t="s">
        <v>40</v>
      </c>
      <c r="B272" s="9" t="s">
        <v>41</v>
      </c>
      <c r="C272" s="12">
        <v>1325</v>
      </c>
      <c r="D272" s="10" t="str" cm="1">
        <f t="array" ref="D272">IF(LENB(B272) = 0, "", _xlfn.IFNA(INDEX(Inv_Model_Names, MATCH(1, (Inv_Part_Num=B272)*1,  0)), ""))</f>
        <v>FREIGHTLINER corornado Century class conv. cab 96-18 L</v>
      </c>
      <c r="E272" s="10"/>
      <c r="F272" s="11"/>
    </row>
    <row r="273" spans="1:6">
      <c r="A273" s="8" t="s">
        <v>42</v>
      </c>
      <c r="B273" s="9" t="s">
        <v>41</v>
      </c>
      <c r="C273" s="12">
        <v>256</v>
      </c>
      <c r="D273" s="10" t="str" cm="1">
        <f t="array" ref="D273">IF(LENB(B273) = 0, "", _xlfn.IFNA(INDEX(Inv_Model_Names, MATCH(1, (Inv_Part_Num=B273)*1,  0)), ""))</f>
        <v>FREIGHTLINER corornado Century class conv. cab 96-18 L</v>
      </c>
      <c r="E273" s="10"/>
      <c r="F273" s="11"/>
    </row>
    <row r="274" spans="1:6">
      <c r="A274" s="8" t="s">
        <v>240</v>
      </c>
      <c r="B274" s="9" t="s">
        <v>12</v>
      </c>
      <c r="C274" s="12">
        <v>548</v>
      </c>
      <c r="D274" s="10" t="str" cm="1">
        <f t="array" ref="D274">IF(LENB(B274) = 0, "", _xlfn.IFNA(INDEX(Inv_Model_Names, MATCH(1, (Inv_Part_Num=B274)*1,  0)), ""))</f>
        <v>volvo VN series 97-14</v>
      </c>
      <c r="E274" s="10"/>
      <c r="F274" s="11"/>
    </row>
    <row r="275" spans="1:6">
      <c r="A275" s="8" t="s">
        <v>52</v>
      </c>
      <c r="B275" s="9" t="s">
        <v>32</v>
      </c>
      <c r="C275" s="29">
        <v>445</v>
      </c>
      <c r="D275" s="10" t="str" cm="1">
        <f t="array" ref="D275">IF(LENB(B275) = 0, "", _xlfn.IFNA(INDEX(Inv_Model_Names, MATCH(1, (Inv_Part_Num=B275)*1,  0)), ""))</f>
        <v>FREIGHTLINER CASCADIA (LDWS &amp; RAIN SENEOR)</v>
      </c>
      <c r="E275" s="10"/>
      <c r="F275" s="10"/>
    </row>
    <row r="276" spans="1:6">
      <c r="A276" s="8" t="s">
        <v>52</v>
      </c>
      <c r="B276" s="9" t="s">
        <v>12</v>
      </c>
      <c r="C276" s="29">
        <v>555</v>
      </c>
      <c r="D276" s="10" t="str" cm="1">
        <f t="array" ref="D276">IF(LENB(B276) = 0, "", _xlfn.IFNA(INDEX(Inv_Model_Names, MATCH(1, (Inv_Part_Num=B276)*1,  0)), ""))</f>
        <v>volvo VN series 97-14</v>
      </c>
      <c r="E276" s="10"/>
      <c r="F276" s="10"/>
    </row>
    <row r="277" spans="1:6">
      <c r="A277" s="8" t="s">
        <v>52</v>
      </c>
      <c r="B277" s="9" t="s">
        <v>120</v>
      </c>
      <c r="C277" s="29">
        <v>555</v>
      </c>
      <c r="D277" s="10" t="str" cm="1">
        <f t="array" ref="D277">IF(LENB(B277) = 0, "", _xlfn.IFNA(INDEX(Inv_Model_Names, MATCH(1, (Inv_Part_Num=B277)*1,  0)), ""))</f>
        <v>FREIGHTLINER CASCADIA half conv. Cab 08-20 L</v>
      </c>
      <c r="E277" s="10"/>
      <c r="F277" s="10"/>
    </row>
    <row r="278" spans="1:6">
      <c r="A278" s="8" t="s">
        <v>52</v>
      </c>
      <c r="B278" s="9" t="s">
        <v>23</v>
      </c>
      <c r="C278" s="29">
        <v>555</v>
      </c>
      <c r="D278" s="10" t="str" cm="1">
        <f t="array" ref="D278">IF(LENB(B278) = 0, "", _xlfn.IFNA(INDEX(Inv_Model_Names, MATCH(1, (Inv_Part_Num=B278)*1,  0)), ""))</f>
        <v xml:space="preserve">FREIGHTLINER CASCADIA conv. Cab 17-22  </v>
      </c>
      <c r="E278" s="10"/>
      <c r="F278" s="10"/>
    </row>
    <row r="279" spans="1:6">
      <c r="A279" s="8" t="s">
        <v>52</v>
      </c>
      <c r="B279" s="9" t="s">
        <v>88</v>
      </c>
      <c r="C279" s="29">
        <v>555</v>
      </c>
      <c r="D279" s="10" t="str" cm="1">
        <f t="array" ref="D279">IF(LENB(B279) = 0, "", _xlfn.IFNA(INDEX(Inv_Model_Names, MATCH(1, (Inv_Part_Num=B279)*1,  0)), ""))</f>
        <v xml:space="preserve">kenworth t680 12-21/t880 conv. Cab </v>
      </c>
      <c r="E279" s="10"/>
      <c r="F279" s="10"/>
    </row>
    <row r="280" spans="1:6">
      <c r="A280" s="8" t="s">
        <v>241</v>
      </c>
      <c r="B280" s="9" t="s">
        <v>85</v>
      </c>
      <c r="C280" s="12">
        <v>5555</v>
      </c>
      <c r="D280" s="10" t="str" cm="1">
        <f t="array" ref="D280">IF(LENB(B280) = 0, "", _xlfn.IFNA(INDEX(Inv_Model_Names, MATCH(1, (Inv_Part_Num=B280)*1,  0)), ""))</f>
        <v>Ford 250-550-2D and 2D/4D super cab  15-22</v>
      </c>
      <c r="E280" s="10"/>
      <c r="F280" s="11"/>
    </row>
    <row r="281" spans="1:6">
      <c r="A281" s="9" t="s">
        <v>83</v>
      </c>
      <c r="B281" s="23" t="s">
        <v>12</v>
      </c>
      <c r="C281" s="12">
        <v>5555</v>
      </c>
      <c r="D281" s="10" t="str" cm="1">
        <f t="array" ref="D281">IF(LENB(B281) = 0, "", _xlfn.IFNA(INDEX(Inv_Model_Names, MATCH(1, (Inv_Part_Num=B281)*1,  0)), ""))</f>
        <v>volvo VN series 97-14</v>
      </c>
      <c r="E281" s="10"/>
      <c r="F281" s="10"/>
    </row>
    <row r="282" spans="1:6">
      <c r="A282" s="23" t="s">
        <v>79</v>
      </c>
      <c r="B282" s="9" t="s">
        <v>23</v>
      </c>
      <c r="C282" s="12">
        <v>5555</v>
      </c>
      <c r="D282" s="10" t="str" cm="1">
        <f t="array" ref="D282">IF(LENB(B282) = 0, "", _xlfn.IFNA(INDEX(Inv_Model_Names, MATCH(1, (Inv_Part_Num=B282)*1,  0)), ""))</f>
        <v xml:space="preserve">FREIGHTLINER CASCADIA conv. Cab 17-22  </v>
      </c>
      <c r="E282" s="10"/>
      <c r="F282" s="10"/>
    </row>
  </sheetData>
  <phoneticPr fontId="12" type="noConversion"/>
  <dataValidations count="2">
    <dataValidation type="list" allowBlank="1" showInputMessage="1" showErrorMessage="1" sqref="B2:B282" xr:uid="{396756B6-8D65-4EE6-B45E-1BCA2823AB88}">
      <formula1>Inv_Part_Num</formula1>
    </dataValidation>
    <dataValidation type="list" allowBlank="1" showInputMessage="1" showErrorMessage="1" sqref="A2:A282" xr:uid="{3030FF09-5077-4330-A26F-2FDD74DD2D90}">
      <formula1>Company_Names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16866-F96A-4140-A272-15DFC35C9521}">
  <sheetPr codeName="Sheet3"/>
  <dimension ref="A1:E82"/>
  <sheetViews>
    <sheetView tabSelected="1" workbookViewId="0">
      <selection activeCell="N13" sqref="N13"/>
    </sheetView>
  </sheetViews>
  <sheetFormatPr defaultRowHeight="15"/>
  <cols>
    <col min="1" max="1" width="55.7109375" style="1" customWidth="1"/>
    <col min="2" max="2" width="14.5703125" style="1" customWidth="1"/>
    <col min="3" max="3" width="14.42578125" style="4" customWidth="1"/>
    <col min="4" max="4" width="21.7109375" bestFit="1" customWidth="1"/>
    <col min="5" max="5" width="26.7109375" bestFit="1" customWidth="1"/>
  </cols>
  <sheetData>
    <row r="1" spans="1:5">
      <c r="A1" s="1" t="s">
        <v>242</v>
      </c>
      <c r="B1" s="1" t="s">
        <v>3</v>
      </c>
      <c r="C1" s="4" t="s">
        <v>243</v>
      </c>
      <c r="D1" s="45" t="s">
        <v>244</v>
      </c>
      <c r="E1" s="45" t="s">
        <v>245</v>
      </c>
    </row>
    <row r="2" spans="1:5">
      <c r="A2" s="45" t="s">
        <v>108</v>
      </c>
      <c r="B2" s="31" t="s">
        <v>12</v>
      </c>
      <c r="C2" s="32">
        <v>22</v>
      </c>
      <c r="D2" s="6" t="s">
        <v>246</v>
      </c>
      <c r="E2" s="20">
        <v>44</v>
      </c>
    </row>
    <row r="3" spans="1:5">
      <c r="A3" s="45" t="s">
        <v>247</v>
      </c>
      <c r="B3" s="31" t="s">
        <v>76</v>
      </c>
      <c r="C3" s="32"/>
      <c r="D3" s="5" t="s">
        <v>246</v>
      </c>
      <c r="E3" s="20">
        <v>49</v>
      </c>
    </row>
    <row r="4" spans="1:5">
      <c r="A4" s="45" t="s">
        <v>248</v>
      </c>
      <c r="B4" s="45" t="s">
        <v>149</v>
      </c>
      <c r="C4" s="32">
        <v>311</v>
      </c>
      <c r="D4" s="5" t="s">
        <v>249</v>
      </c>
      <c r="E4" s="20">
        <v>50</v>
      </c>
    </row>
    <row r="5" spans="1:5">
      <c r="A5" s="45" t="s">
        <v>250</v>
      </c>
      <c r="B5" s="45" t="s">
        <v>251</v>
      </c>
      <c r="C5" s="32">
        <v>444</v>
      </c>
      <c r="D5" s="5" t="s">
        <v>252</v>
      </c>
      <c r="E5" s="20">
        <v>50</v>
      </c>
    </row>
    <row r="6" spans="1:5">
      <c r="A6" s="45" t="s">
        <v>253</v>
      </c>
      <c r="B6" s="45" t="s">
        <v>254</v>
      </c>
      <c r="C6" s="32">
        <v>222</v>
      </c>
      <c r="D6" s="5"/>
      <c r="E6" s="20">
        <v>50</v>
      </c>
    </row>
    <row r="7" spans="1:5">
      <c r="A7" s="45" t="s">
        <v>255</v>
      </c>
      <c r="B7" s="45" t="s">
        <v>256</v>
      </c>
      <c r="C7" s="32">
        <v>111</v>
      </c>
      <c r="D7" s="5"/>
      <c r="E7" s="20">
        <v>50</v>
      </c>
    </row>
    <row r="8" spans="1:5">
      <c r="A8" s="45" t="s">
        <v>257</v>
      </c>
      <c r="B8" s="45" t="s">
        <v>258</v>
      </c>
      <c r="C8" s="32">
        <v>33.33</v>
      </c>
      <c r="D8" s="5"/>
      <c r="E8" s="20">
        <v>50</v>
      </c>
    </row>
    <row r="9" spans="1:5">
      <c r="A9" s="45" t="s">
        <v>259</v>
      </c>
      <c r="B9" s="45" t="s">
        <v>260</v>
      </c>
      <c r="C9" s="32">
        <v>222</v>
      </c>
      <c r="D9" s="5"/>
      <c r="E9" s="20">
        <v>50</v>
      </c>
    </row>
    <row r="10" spans="1:5">
      <c r="A10" s="45" t="s">
        <v>261</v>
      </c>
      <c r="B10" s="31" t="s">
        <v>12</v>
      </c>
      <c r="C10" s="32">
        <v>133</v>
      </c>
      <c r="D10" s="5"/>
      <c r="E10" s="20">
        <v>44</v>
      </c>
    </row>
    <row r="11" spans="1:5">
      <c r="A11" s="45" t="s">
        <v>262</v>
      </c>
      <c r="B11" s="45" t="s">
        <v>254</v>
      </c>
      <c r="C11" s="32">
        <v>145</v>
      </c>
      <c r="D11" s="5"/>
      <c r="E11" s="20">
        <v>50</v>
      </c>
    </row>
    <row r="12" spans="1:5">
      <c r="A12" s="45" t="s">
        <v>263</v>
      </c>
      <c r="B12" s="45" t="s">
        <v>264</v>
      </c>
      <c r="C12" s="32"/>
      <c r="D12" s="5"/>
      <c r="E12" s="20">
        <v>50</v>
      </c>
    </row>
    <row r="13" spans="1:5">
      <c r="A13" s="45" t="s">
        <v>265</v>
      </c>
      <c r="B13" s="45" t="s">
        <v>266</v>
      </c>
      <c r="C13" s="32"/>
      <c r="D13" s="5"/>
      <c r="E13" s="20">
        <v>50</v>
      </c>
    </row>
    <row r="14" spans="1:5">
      <c r="A14" s="45" t="s">
        <v>267</v>
      </c>
      <c r="B14" s="45" t="s">
        <v>268</v>
      </c>
      <c r="C14" s="32">
        <v>234</v>
      </c>
      <c r="D14" s="5"/>
      <c r="E14" s="20">
        <v>50</v>
      </c>
    </row>
    <row r="15" spans="1:5">
      <c r="A15" s="45" t="s">
        <v>269</v>
      </c>
      <c r="B15" s="45" t="s">
        <v>23</v>
      </c>
      <c r="C15" s="32">
        <v>234</v>
      </c>
      <c r="D15" s="5"/>
      <c r="E15" s="20">
        <v>33</v>
      </c>
    </row>
    <row r="16" spans="1:5">
      <c r="A16" s="45" t="s">
        <v>270</v>
      </c>
      <c r="B16" s="45" t="s">
        <v>32</v>
      </c>
      <c r="C16" s="32">
        <v>91</v>
      </c>
      <c r="D16" s="5"/>
      <c r="E16" s="20">
        <v>47</v>
      </c>
    </row>
    <row r="17" spans="1:5">
      <c r="A17" s="45" t="s">
        <v>271</v>
      </c>
      <c r="B17" s="45" t="s">
        <v>36</v>
      </c>
      <c r="C17" s="32">
        <v>114.54</v>
      </c>
      <c r="D17" s="5" t="s">
        <v>272</v>
      </c>
      <c r="E17" s="20">
        <v>50</v>
      </c>
    </row>
    <row r="18" spans="1:5">
      <c r="A18" s="45" t="s">
        <v>273</v>
      </c>
      <c r="B18" s="45" t="s">
        <v>45</v>
      </c>
      <c r="C18" s="32">
        <v>222</v>
      </c>
      <c r="D18" s="5"/>
      <c r="E18" s="20">
        <v>49</v>
      </c>
    </row>
    <row r="19" spans="1:5">
      <c r="A19" s="45" t="s">
        <v>274</v>
      </c>
      <c r="B19" s="45" t="s">
        <v>120</v>
      </c>
      <c r="C19" s="32">
        <v>222</v>
      </c>
      <c r="D19" s="5"/>
      <c r="E19" s="20">
        <v>50</v>
      </c>
    </row>
    <row r="20" spans="1:5">
      <c r="A20" s="45" t="s">
        <v>275</v>
      </c>
      <c r="B20" s="45" t="s">
        <v>276</v>
      </c>
      <c r="C20" s="32">
        <v>333</v>
      </c>
      <c r="D20" s="5"/>
      <c r="E20" s="20">
        <v>50</v>
      </c>
    </row>
    <row r="21" spans="1:5">
      <c r="A21" s="45" t="s">
        <v>277</v>
      </c>
      <c r="B21" s="45" t="s">
        <v>278</v>
      </c>
      <c r="C21" s="32">
        <v>345</v>
      </c>
      <c r="D21" s="5"/>
      <c r="E21" s="20">
        <v>50</v>
      </c>
    </row>
    <row r="22" spans="1:5">
      <c r="A22" s="45" t="s">
        <v>279</v>
      </c>
      <c r="B22" s="45" t="s">
        <v>280</v>
      </c>
      <c r="C22" s="32">
        <v>213</v>
      </c>
      <c r="D22" s="5"/>
      <c r="E22" s="20">
        <v>50</v>
      </c>
    </row>
    <row r="23" spans="1:5">
      <c r="A23" s="45" t="s">
        <v>281</v>
      </c>
      <c r="B23" s="45" t="s">
        <v>282</v>
      </c>
      <c r="C23" s="32">
        <v>23</v>
      </c>
      <c r="D23" s="5"/>
      <c r="E23" s="20">
        <v>50</v>
      </c>
    </row>
    <row r="24" spans="1:5">
      <c r="A24" s="45" t="s">
        <v>283</v>
      </c>
      <c r="B24" s="45" t="s">
        <v>284</v>
      </c>
      <c r="C24" s="32">
        <v>22</v>
      </c>
      <c r="D24" s="5"/>
      <c r="E24" s="20">
        <v>50</v>
      </c>
    </row>
    <row r="25" spans="1:5">
      <c r="A25" s="45" t="s">
        <v>285</v>
      </c>
      <c r="B25" s="45" t="s">
        <v>286</v>
      </c>
      <c r="C25" s="32">
        <v>22</v>
      </c>
      <c r="D25" s="5"/>
      <c r="E25" s="20">
        <v>50</v>
      </c>
    </row>
    <row r="26" spans="1:5">
      <c r="A26" s="45" t="s">
        <v>287</v>
      </c>
      <c r="B26" s="45" t="s">
        <v>288</v>
      </c>
      <c r="C26" s="32">
        <v>33</v>
      </c>
      <c r="D26" s="5"/>
      <c r="E26" s="20">
        <v>50</v>
      </c>
    </row>
    <row r="27" spans="1:5">
      <c r="A27" s="45" t="s">
        <v>289</v>
      </c>
      <c r="B27" s="45" t="s">
        <v>290</v>
      </c>
      <c r="C27" s="32">
        <v>12</v>
      </c>
      <c r="D27" s="5"/>
      <c r="E27" s="20">
        <v>50</v>
      </c>
    </row>
    <row r="28" spans="1:5">
      <c r="A28" s="45" t="s">
        <v>291</v>
      </c>
      <c r="B28" s="45" t="s">
        <v>124</v>
      </c>
      <c r="C28" s="32">
        <v>222</v>
      </c>
      <c r="D28" s="5"/>
      <c r="E28" s="20">
        <v>50</v>
      </c>
    </row>
    <row r="29" spans="1:5">
      <c r="A29" s="45" t="s">
        <v>292</v>
      </c>
      <c r="B29" s="45" t="s">
        <v>293</v>
      </c>
      <c r="C29" s="32">
        <v>33</v>
      </c>
      <c r="D29" s="5"/>
      <c r="E29" s="20">
        <v>50</v>
      </c>
    </row>
    <row r="30" spans="1:5">
      <c r="A30" s="45" t="s">
        <v>294</v>
      </c>
      <c r="B30" s="45" t="s">
        <v>137</v>
      </c>
      <c r="C30" s="32">
        <v>111.1</v>
      </c>
      <c r="D30" s="5"/>
      <c r="E30" s="20">
        <v>50</v>
      </c>
    </row>
    <row r="31" spans="1:5">
      <c r="A31" s="45" t="s">
        <v>295</v>
      </c>
      <c r="B31" s="45" t="s">
        <v>41</v>
      </c>
      <c r="C31" s="32">
        <v>40.4</v>
      </c>
      <c r="D31" s="5"/>
      <c r="E31" s="20">
        <v>50</v>
      </c>
    </row>
    <row r="32" spans="1:5">
      <c r="A32" s="45" t="s">
        <v>296</v>
      </c>
      <c r="B32" s="45" t="s">
        <v>88</v>
      </c>
      <c r="C32" s="32">
        <v>222.22200000000001</v>
      </c>
      <c r="D32" s="5"/>
      <c r="E32" s="20">
        <v>46</v>
      </c>
    </row>
    <row r="33" spans="1:5">
      <c r="A33" s="45" t="s">
        <v>297</v>
      </c>
      <c r="B33" s="45" t="s">
        <v>298</v>
      </c>
      <c r="C33" s="32">
        <v>311</v>
      </c>
      <c r="D33" s="5"/>
      <c r="E33" s="20">
        <v>50</v>
      </c>
    </row>
    <row r="34" spans="1:5">
      <c r="A34" s="45" t="s">
        <v>299</v>
      </c>
      <c r="B34" s="45" t="s">
        <v>300</v>
      </c>
      <c r="C34" s="32">
        <v>126</v>
      </c>
      <c r="D34" s="5"/>
      <c r="E34" s="20">
        <v>50</v>
      </c>
    </row>
    <row r="35" spans="1:5">
      <c r="A35" s="45" t="s">
        <v>301</v>
      </c>
      <c r="B35" s="45" t="s">
        <v>302</v>
      </c>
      <c r="C35" s="32">
        <v>55</v>
      </c>
      <c r="D35" s="5"/>
      <c r="E35" s="20">
        <v>50</v>
      </c>
    </row>
    <row r="36" spans="1:5">
      <c r="A36" s="45" t="s">
        <v>303</v>
      </c>
      <c r="B36" s="45" t="s">
        <v>304</v>
      </c>
      <c r="C36" s="32">
        <v>55</v>
      </c>
      <c r="D36" s="5"/>
      <c r="E36" s="20">
        <v>50</v>
      </c>
    </row>
    <row r="37" spans="1:5">
      <c r="A37" s="45" t="s">
        <v>305</v>
      </c>
      <c r="B37" s="45" t="s">
        <v>306</v>
      </c>
      <c r="C37" s="32">
        <v>55</v>
      </c>
      <c r="D37" s="5"/>
      <c r="E37" s="20">
        <v>50</v>
      </c>
    </row>
    <row r="38" spans="1:5">
      <c r="A38" s="45" t="s">
        <v>307</v>
      </c>
      <c r="B38" s="45" t="s">
        <v>208</v>
      </c>
      <c r="C38" s="32">
        <v>111</v>
      </c>
      <c r="D38" s="5"/>
      <c r="E38" s="20">
        <v>50</v>
      </c>
    </row>
    <row r="39" spans="1:5">
      <c r="A39" s="45" t="s">
        <v>308</v>
      </c>
      <c r="B39" s="45" t="s">
        <v>309</v>
      </c>
      <c r="C39" s="32">
        <v>80</v>
      </c>
      <c r="D39" s="5"/>
      <c r="E39" s="20">
        <v>50</v>
      </c>
    </row>
    <row r="40" spans="1:5">
      <c r="A40" s="45" t="s">
        <v>310</v>
      </c>
      <c r="B40" s="45" t="s">
        <v>311</v>
      </c>
      <c r="C40" s="32">
        <v>81</v>
      </c>
      <c r="D40" s="5"/>
      <c r="E40" s="20">
        <v>50</v>
      </c>
    </row>
    <row r="41" spans="1:5">
      <c r="A41" s="45" t="s">
        <v>312</v>
      </c>
      <c r="B41" s="45" t="s">
        <v>313</v>
      </c>
      <c r="C41" s="32">
        <v>82</v>
      </c>
      <c r="D41" s="5"/>
      <c r="E41" s="20">
        <v>50</v>
      </c>
    </row>
    <row r="42" spans="1:5">
      <c r="A42" s="45" t="s">
        <v>314</v>
      </c>
      <c r="B42" s="45" t="s">
        <v>315</v>
      </c>
      <c r="C42" s="32">
        <v>40</v>
      </c>
      <c r="D42" s="5"/>
      <c r="E42" s="20">
        <v>50</v>
      </c>
    </row>
    <row r="43" spans="1:5">
      <c r="A43" s="45" t="s">
        <v>316</v>
      </c>
      <c r="B43" s="45" t="s">
        <v>317</v>
      </c>
      <c r="C43" s="32">
        <v>44</v>
      </c>
      <c r="D43" s="5"/>
      <c r="E43" s="20">
        <v>50</v>
      </c>
    </row>
    <row r="44" spans="1:5">
      <c r="A44" s="45" t="s">
        <v>318</v>
      </c>
      <c r="B44" s="45" t="s">
        <v>319</v>
      </c>
      <c r="C44" s="32">
        <v>275</v>
      </c>
      <c r="D44" s="5"/>
      <c r="E44" s="20">
        <v>50</v>
      </c>
    </row>
    <row r="45" spans="1:5">
      <c r="A45" s="45" t="s">
        <v>320</v>
      </c>
      <c r="B45" s="45" t="s">
        <v>219</v>
      </c>
      <c r="C45" s="32">
        <v>303</v>
      </c>
      <c r="D45" s="5"/>
      <c r="E45" s="20">
        <v>50</v>
      </c>
    </row>
    <row r="46" spans="1:5">
      <c r="A46" s="45" t="s">
        <v>321</v>
      </c>
      <c r="B46" s="45" t="s">
        <v>85</v>
      </c>
      <c r="C46" s="32">
        <v>222</v>
      </c>
      <c r="D46" s="5"/>
      <c r="E46" s="20">
        <v>50</v>
      </c>
    </row>
    <row r="47" spans="1:5">
      <c r="A47" s="45" t="s">
        <v>322</v>
      </c>
      <c r="B47" s="45" t="s">
        <v>323</v>
      </c>
      <c r="C47" s="32">
        <v>303.3</v>
      </c>
      <c r="D47" s="5"/>
      <c r="E47" s="20">
        <v>50</v>
      </c>
    </row>
    <row r="48" spans="1:5">
      <c r="A48" s="45" t="s">
        <v>324</v>
      </c>
      <c r="B48" s="45" t="s">
        <v>325</v>
      </c>
      <c r="C48" s="32">
        <v>44.44</v>
      </c>
      <c r="D48" s="5"/>
      <c r="E48" s="20">
        <v>50</v>
      </c>
    </row>
    <row r="49" spans="1:5">
      <c r="A49" s="45" t="s">
        <v>326</v>
      </c>
      <c r="B49" s="45" t="s">
        <v>327</v>
      </c>
      <c r="C49" s="32">
        <v>22</v>
      </c>
      <c r="D49" s="5"/>
      <c r="E49" s="20">
        <v>50</v>
      </c>
    </row>
    <row r="50" spans="1:5">
      <c r="A50" s="45" t="s">
        <v>328</v>
      </c>
      <c r="B50" s="45" t="s">
        <v>329</v>
      </c>
      <c r="C50" s="32">
        <v>87.77</v>
      </c>
      <c r="D50" s="5"/>
      <c r="E50" s="20">
        <v>50</v>
      </c>
    </row>
    <row r="51" spans="1:5">
      <c r="A51" s="45" t="s">
        <v>330</v>
      </c>
      <c r="B51" s="45" t="s">
        <v>331</v>
      </c>
      <c r="C51" s="32">
        <v>100.101</v>
      </c>
      <c r="D51" s="5"/>
      <c r="E51" s="20">
        <v>50</v>
      </c>
    </row>
    <row r="52" spans="1:5">
      <c r="A52" s="45" t="s">
        <v>332</v>
      </c>
      <c r="B52" s="45" t="s">
        <v>333</v>
      </c>
      <c r="C52" s="32">
        <v>111</v>
      </c>
      <c r="D52" s="5"/>
      <c r="E52" s="20">
        <v>50</v>
      </c>
    </row>
    <row r="53" spans="1:5">
      <c r="A53" s="45" t="s">
        <v>334</v>
      </c>
      <c r="B53" s="45" t="s">
        <v>335</v>
      </c>
      <c r="C53" s="32">
        <v>11</v>
      </c>
      <c r="D53" s="5"/>
      <c r="E53" s="20">
        <v>50</v>
      </c>
    </row>
    <row r="54" spans="1:5">
      <c r="A54" s="45" t="s">
        <v>336</v>
      </c>
      <c r="B54" s="45" t="s">
        <v>337</v>
      </c>
      <c r="C54" s="32">
        <v>223</v>
      </c>
      <c r="D54" s="5"/>
      <c r="E54" s="20">
        <v>50</v>
      </c>
    </row>
    <row r="55" spans="1:5">
      <c r="A55" s="45" t="s">
        <v>338</v>
      </c>
      <c r="B55" s="45" t="s">
        <v>339</v>
      </c>
      <c r="C55" s="32">
        <v>33</v>
      </c>
      <c r="D55" s="5"/>
      <c r="E55" s="20">
        <v>50</v>
      </c>
    </row>
    <row r="56" spans="1:5">
      <c r="A56" s="45" t="s">
        <v>340</v>
      </c>
      <c r="B56" s="45" t="s">
        <v>341</v>
      </c>
      <c r="C56" s="32">
        <v>44</v>
      </c>
      <c r="D56" s="5"/>
      <c r="E56" s="20">
        <v>50</v>
      </c>
    </row>
    <row r="57" spans="1:5">
      <c r="A57" s="45" t="s">
        <v>342</v>
      </c>
      <c r="B57" s="45" t="s">
        <v>343</v>
      </c>
      <c r="C57" s="32">
        <v>4444</v>
      </c>
      <c r="D57" s="5"/>
      <c r="E57" s="20">
        <v>50</v>
      </c>
    </row>
    <row r="58" spans="1:5">
      <c r="A58" s="45" t="s">
        <v>344</v>
      </c>
      <c r="B58" s="45" t="s">
        <v>345</v>
      </c>
      <c r="C58" s="32">
        <v>55</v>
      </c>
      <c r="D58" s="5"/>
      <c r="E58" s="20">
        <v>50</v>
      </c>
    </row>
    <row r="59" spans="1:5">
      <c r="A59" s="45" t="s">
        <v>346</v>
      </c>
      <c r="B59" s="45" t="s">
        <v>347</v>
      </c>
      <c r="C59" s="32">
        <v>55</v>
      </c>
      <c r="D59" s="5"/>
      <c r="E59" s="20">
        <v>50</v>
      </c>
    </row>
    <row r="60" spans="1:5">
      <c r="A60" s="45" t="s">
        <v>348</v>
      </c>
      <c r="B60" s="45" t="s">
        <v>349</v>
      </c>
      <c r="C60" s="32">
        <v>55</v>
      </c>
      <c r="D60" s="5"/>
      <c r="E60" s="20">
        <v>50</v>
      </c>
    </row>
    <row r="61" spans="1:5">
      <c r="A61" s="45" t="s">
        <v>350</v>
      </c>
      <c r="B61" s="45" t="s">
        <v>351</v>
      </c>
      <c r="C61" s="32">
        <v>44</v>
      </c>
      <c r="D61" s="5"/>
      <c r="E61" s="20">
        <v>50</v>
      </c>
    </row>
    <row r="62" spans="1:5">
      <c r="A62" s="45" t="s">
        <v>352</v>
      </c>
      <c r="B62" s="45" t="s">
        <v>353</v>
      </c>
      <c r="C62" s="32">
        <v>22</v>
      </c>
      <c r="D62" s="5"/>
      <c r="E62" s="20">
        <v>50</v>
      </c>
    </row>
    <row r="63" spans="1:5">
      <c r="A63" s="45" t="s">
        <v>354</v>
      </c>
      <c r="B63" s="45" t="s">
        <v>355</v>
      </c>
      <c r="C63" s="45">
        <v>44</v>
      </c>
      <c r="D63" s="5"/>
      <c r="E63" s="20">
        <v>50</v>
      </c>
    </row>
    <row r="64" spans="1:5">
      <c r="A64" s="45" t="s">
        <v>356</v>
      </c>
      <c r="B64" s="45" t="s">
        <v>357</v>
      </c>
      <c r="C64" s="45">
        <v>32</v>
      </c>
      <c r="D64" s="5"/>
      <c r="E64" s="20">
        <v>50</v>
      </c>
    </row>
    <row r="65" spans="1:5">
      <c r="A65" s="45" t="s">
        <v>358</v>
      </c>
      <c r="B65" s="45" t="s">
        <v>145</v>
      </c>
      <c r="C65" s="32">
        <v>26.62</v>
      </c>
      <c r="D65" s="5"/>
      <c r="E65" s="20">
        <v>50</v>
      </c>
    </row>
    <row r="66" spans="1:5">
      <c r="A66" s="45" t="s">
        <v>359</v>
      </c>
      <c r="B66" s="45" t="s">
        <v>360</v>
      </c>
      <c r="C66" s="32">
        <v>50</v>
      </c>
      <c r="D66" s="5"/>
      <c r="E66" s="20">
        <v>50</v>
      </c>
    </row>
    <row r="67" spans="1:5">
      <c r="A67" s="45" t="s">
        <v>361</v>
      </c>
      <c r="B67" s="45" t="s">
        <v>21</v>
      </c>
      <c r="C67" s="32">
        <v>77</v>
      </c>
      <c r="D67" s="5"/>
      <c r="E67" s="20">
        <v>50</v>
      </c>
    </row>
    <row r="68" spans="1:5">
      <c r="A68" s="45" t="s">
        <v>362</v>
      </c>
      <c r="B68" s="45" t="s">
        <v>17</v>
      </c>
      <c r="C68" s="32">
        <v>88</v>
      </c>
      <c r="D68" s="5"/>
      <c r="E68" s="20">
        <v>50</v>
      </c>
    </row>
    <row r="69" spans="1:5">
      <c r="A69" s="45" t="s">
        <v>363</v>
      </c>
      <c r="B69" s="45" t="s">
        <v>364</v>
      </c>
      <c r="C69" s="32">
        <v>66</v>
      </c>
      <c r="D69" s="5"/>
      <c r="E69" s="20">
        <v>50</v>
      </c>
    </row>
    <row r="70" spans="1:5">
      <c r="A70" s="45" t="s">
        <v>365</v>
      </c>
      <c r="B70" s="45" t="s">
        <v>366</v>
      </c>
      <c r="C70" s="32">
        <v>22</v>
      </c>
      <c r="D70" s="5"/>
      <c r="E70" s="20">
        <v>50</v>
      </c>
    </row>
    <row r="71" spans="1:5">
      <c r="A71" s="45" t="s">
        <v>367</v>
      </c>
      <c r="B71" s="45" t="s">
        <v>317</v>
      </c>
      <c r="C71" s="32">
        <v>90</v>
      </c>
      <c r="D71" s="5"/>
      <c r="E71" s="20">
        <v>50</v>
      </c>
    </row>
    <row r="72" spans="1:5">
      <c r="A72" s="45" t="s">
        <v>368</v>
      </c>
      <c r="B72" s="45" t="s">
        <v>369</v>
      </c>
      <c r="C72" s="32">
        <v>88</v>
      </c>
      <c r="D72" s="5"/>
      <c r="E72" s="20">
        <v>50</v>
      </c>
    </row>
    <row r="73" spans="1:5">
      <c r="A73" s="45" t="s">
        <v>370</v>
      </c>
      <c r="B73" s="45" t="s">
        <v>371</v>
      </c>
      <c r="C73" s="32">
        <v>30.3</v>
      </c>
      <c r="D73" s="5"/>
      <c r="E73" s="20">
        <v>50</v>
      </c>
    </row>
    <row r="74" spans="1:5">
      <c r="A74" s="45" t="s">
        <v>372</v>
      </c>
      <c r="B74" s="45" t="s">
        <v>373</v>
      </c>
      <c r="C74" s="32">
        <v>200</v>
      </c>
      <c r="D74" s="5"/>
      <c r="E74" s="20">
        <v>50</v>
      </c>
    </row>
    <row r="75" spans="1:5">
      <c r="A75" s="1" t="s">
        <v>374</v>
      </c>
      <c r="B75" s="1" t="s">
        <v>121</v>
      </c>
      <c r="C75" s="32">
        <v>5</v>
      </c>
      <c r="D75" s="5"/>
      <c r="E75" s="20">
        <v>50</v>
      </c>
    </row>
    <row r="76" spans="1:5">
      <c r="A76" s="1" t="s">
        <v>375</v>
      </c>
      <c r="B76" s="1" t="s">
        <v>207</v>
      </c>
      <c r="C76" s="32">
        <v>8000</v>
      </c>
      <c r="D76" s="5"/>
      <c r="E76" s="20">
        <v>50</v>
      </c>
    </row>
    <row r="77" spans="1:5">
      <c r="A77" s="1" t="s">
        <v>376</v>
      </c>
      <c r="B77" s="1" t="s">
        <v>313</v>
      </c>
      <c r="C77" s="32">
        <v>9000</v>
      </c>
      <c r="D77" s="5"/>
      <c r="E77" s="20">
        <v>50</v>
      </c>
    </row>
    <row r="78" spans="1:5">
      <c r="A78" s="1" t="s">
        <v>377</v>
      </c>
      <c r="B78" s="1" t="s">
        <v>28</v>
      </c>
      <c r="C78" s="32">
        <v>2</v>
      </c>
      <c r="D78" s="5"/>
      <c r="E78" s="20">
        <v>50</v>
      </c>
    </row>
    <row r="79" spans="1:5">
      <c r="A79" s="1" t="s">
        <v>378</v>
      </c>
      <c r="B79" s="1" t="s">
        <v>61</v>
      </c>
      <c r="C79" s="32">
        <v>600</v>
      </c>
      <c r="D79" s="5"/>
      <c r="E79" s="20">
        <v>50</v>
      </c>
    </row>
    <row r="80" spans="1:5">
      <c r="A80" s="1" t="s">
        <v>379</v>
      </c>
      <c r="B80" s="1" t="s">
        <v>64</v>
      </c>
      <c r="C80" s="32">
        <v>785</v>
      </c>
      <c r="D80" s="5"/>
      <c r="E80" s="20">
        <v>50</v>
      </c>
    </row>
    <row r="81" spans="1:5">
      <c r="A81" s="1" t="s">
        <v>380</v>
      </c>
      <c r="B81" s="1" t="s">
        <v>125</v>
      </c>
      <c r="C81" s="32">
        <v>685</v>
      </c>
      <c r="D81" s="5"/>
      <c r="E81" s="20">
        <v>50</v>
      </c>
    </row>
    <row r="82" spans="1:5">
      <c r="A82" s="1" t="s">
        <v>381</v>
      </c>
      <c r="B82" s="1" t="s">
        <v>329</v>
      </c>
      <c r="C82" s="32">
        <v>2236</v>
      </c>
      <c r="D82" s="5"/>
      <c r="E82" s="20">
        <v>50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D76AE-73E0-44D0-81DF-063ECEC7811D}">
  <sheetPr codeName="Sheet5"/>
  <dimension ref="A1:L37"/>
  <sheetViews>
    <sheetView workbookViewId="0">
      <selection activeCell="K46" sqref="K46"/>
    </sheetView>
  </sheetViews>
  <sheetFormatPr defaultRowHeight="15"/>
  <cols>
    <col min="1" max="1" width="18.7109375" bestFit="1" customWidth="1"/>
    <col min="12" max="12" width="35.7109375" customWidth="1"/>
  </cols>
  <sheetData>
    <row r="1" spans="1:12" ht="19.5">
      <c r="A1" s="45" t="s">
        <v>382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2" t="s">
        <v>383</v>
      </c>
    </row>
    <row r="2" spans="1:12">
      <c r="A2" s="45" t="s">
        <v>117</v>
      </c>
      <c r="B2" s="45"/>
      <c r="C2" s="45"/>
      <c r="D2" s="45"/>
      <c r="E2" s="45"/>
      <c r="F2" s="45"/>
      <c r="G2" s="45"/>
      <c r="H2" s="45"/>
      <c r="I2" s="45"/>
      <c r="J2" s="45"/>
      <c r="K2" s="45"/>
      <c r="L2" s="15" t="s">
        <v>25</v>
      </c>
    </row>
    <row r="3" spans="1:12">
      <c r="A3" s="45" t="s">
        <v>30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15"/>
    </row>
    <row r="4" spans="1:12">
      <c r="A4" s="45" t="s">
        <v>31</v>
      </c>
      <c r="B4" s="45"/>
      <c r="C4" s="45"/>
      <c r="D4" s="45"/>
      <c r="E4" s="45"/>
      <c r="F4" s="45"/>
      <c r="G4" s="45"/>
      <c r="H4" s="45"/>
      <c r="I4" s="45"/>
      <c r="J4" s="45"/>
      <c r="K4" s="45"/>
      <c r="L4" s="15"/>
    </row>
    <row r="5" spans="1:12">
      <c r="A5" s="45" t="s">
        <v>384</v>
      </c>
      <c r="B5" s="45"/>
      <c r="C5" s="45"/>
      <c r="D5" s="45"/>
      <c r="E5" s="45"/>
      <c r="F5" s="45"/>
      <c r="G5" s="45"/>
      <c r="H5" s="45"/>
      <c r="I5" s="45"/>
      <c r="J5" s="45"/>
      <c r="K5" s="45"/>
      <c r="L5" s="15"/>
    </row>
    <row r="6" spans="1:12">
      <c r="A6" s="45" t="s">
        <v>16</v>
      </c>
      <c r="B6" s="45"/>
      <c r="C6" s="45"/>
      <c r="D6" s="45"/>
      <c r="E6" s="45"/>
      <c r="F6" s="45"/>
      <c r="G6" s="45"/>
      <c r="H6" s="45"/>
      <c r="I6" s="45"/>
      <c r="J6" s="45"/>
      <c r="K6" s="45"/>
      <c r="L6" s="15"/>
    </row>
    <row r="7" spans="1:12">
      <c r="A7" s="8" t="s">
        <v>123</v>
      </c>
      <c r="B7" s="45"/>
      <c r="C7" s="45"/>
      <c r="D7" s="45"/>
      <c r="E7" s="45"/>
      <c r="F7" s="45"/>
      <c r="G7" s="45"/>
      <c r="H7" s="45"/>
      <c r="I7" s="45"/>
      <c r="J7" s="45"/>
      <c r="K7" s="45"/>
      <c r="L7" s="15"/>
    </row>
    <row r="8" spans="1:12">
      <c r="A8" s="45" t="s">
        <v>35</v>
      </c>
      <c r="B8" s="45"/>
      <c r="C8" s="45"/>
      <c r="D8" s="45"/>
      <c r="E8" s="45"/>
      <c r="F8" s="45"/>
      <c r="G8" s="45"/>
      <c r="H8" s="45"/>
      <c r="I8" s="45"/>
      <c r="J8" s="45"/>
      <c r="K8" s="45"/>
      <c r="L8" s="15"/>
    </row>
    <row r="9" spans="1:12">
      <c r="A9" s="45" t="s">
        <v>37</v>
      </c>
      <c r="B9" s="45"/>
      <c r="C9" s="45"/>
      <c r="D9" s="45"/>
      <c r="E9" s="45"/>
      <c r="F9" s="45"/>
      <c r="G9" s="45"/>
      <c r="H9" s="45"/>
      <c r="I9" s="45"/>
      <c r="J9" s="45"/>
      <c r="K9" s="45"/>
      <c r="L9" s="15"/>
    </row>
    <row r="10" spans="1:12">
      <c r="A10" s="45" t="s">
        <v>38</v>
      </c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15"/>
    </row>
    <row r="11" spans="1:12">
      <c r="A11" s="45" t="s">
        <v>40</v>
      </c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15"/>
    </row>
    <row r="12" spans="1:12">
      <c r="A12" s="45" t="s">
        <v>42</v>
      </c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15"/>
    </row>
    <row r="13" spans="1:12">
      <c r="A13" s="45" t="s">
        <v>55</v>
      </c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15"/>
    </row>
    <row r="14" spans="1:12">
      <c r="A14" s="23" t="s">
        <v>56</v>
      </c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15"/>
    </row>
    <row r="15" spans="1:12">
      <c r="A15" s="45" t="s">
        <v>162</v>
      </c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15"/>
    </row>
    <row r="16" spans="1:12">
      <c r="A16" s="45" t="s">
        <v>385</v>
      </c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15"/>
    </row>
    <row r="17" spans="1:12">
      <c r="A17" s="45" t="s">
        <v>68</v>
      </c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15"/>
    </row>
    <row r="18" spans="1:12">
      <c r="A18" s="45" t="s">
        <v>63</v>
      </c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15"/>
    </row>
    <row r="19" spans="1:12">
      <c r="A19" s="45" t="s">
        <v>52</v>
      </c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15"/>
    </row>
    <row r="20" spans="1:12">
      <c r="A20" s="45" t="s">
        <v>54</v>
      </c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</row>
    <row r="21" spans="1:12">
      <c r="A21" s="45" t="s">
        <v>66</v>
      </c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</row>
    <row r="22" spans="1:12">
      <c r="A22" s="8" t="s">
        <v>90</v>
      </c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</row>
    <row r="23" spans="1:12">
      <c r="A23" s="45" t="s">
        <v>222</v>
      </c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</row>
    <row r="24" spans="1:12">
      <c r="A24" s="45" t="s">
        <v>77</v>
      </c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</row>
    <row r="25" spans="1:12">
      <c r="A25" s="45" t="s">
        <v>75</v>
      </c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</row>
    <row r="26" spans="1:12">
      <c r="A26" s="8" t="s">
        <v>89</v>
      </c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</row>
    <row r="27" spans="1:12">
      <c r="A27" s="8" t="s">
        <v>160</v>
      </c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</row>
    <row r="28" spans="1:12">
      <c r="A28" s="8" t="s">
        <v>150</v>
      </c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</row>
    <row r="29" spans="1:12">
      <c r="A29" s="8" t="s">
        <v>93</v>
      </c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</row>
    <row r="30" spans="1:12">
      <c r="A30" s="8" t="s">
        <v>148</v>
      </c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</row>
    <row r="31" spans="1:12">
      <c r="A31" s="45" t="s">
        <v>386</v>
      </c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</row>
    <row r="32" spans="1:12">
      <c r="A32" s="45" t="s">
        <v>146</v>
      </c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</row>
    <row r="33" spans="1:1">
      <c r="A33" s="8" t="s">
        <v>142</v>
      </c>
    </row>
    <row r="34" spans="1:1">
      <c r="A34" s="8" t="s">
        <v>141</v>
      </c>
    </row>
    <row r="35" spans="1:1">
      <c r="A35" s="45" t="s">
        <v>387</v>
      </c>
    </row>
    <row r="36" spans="1:1">
      <c r="A36" s="8" t="s">
        <v>135</v>
      </c>
    </row>
    <row r="37" spans="1:1">
      <c r="A37" s="8" t="s">
        <v>133</v>
      </c>
    </row>
  </sheetData>
  <dataValidations count="1">
    <dataValidation type="list" allowBlank="1" showInputMessage="1" showErrorMessage="1" sqref="A7 A14 A26:A30 A33:A34 A36:A37 A22" xr:uid="{9DDC4E9F-150E-4BAD-9B06-CDA64688B095}">
      <formula1>Company_Names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6049F-D04F-4760-9D02-A3647565E710}">
  <sheetPr codeName="Sheet8"/>
  <dimension ref="A1:K25"/>
  <sheetViews>
    <sheetView workbookViewId="0">
      <selection activeCell="N8" sqref="N8"/>
    </sheetView>
  </sheetViews>
  <sheetFormatPr defaultRowHeight="15"/>
  <cols>
    <col min="1" max="1" width="30.7109375" customWidth="1"/>
    <col min="11" max="11" width="22.42578125" bestFit="1" customWidth="1"/>
  </cols>
  <sheetData>
    <row r="1" spans="1:11" ht="19.5">
      <c r="A1" s="43" t="s">
        <v>388</v>
      </c>
      <c r="B1" s="45"/>
      <c r="C1" s="45"/>
      <c r="D1" s="45"/>
      <c r="E1" s="45"/>
      <c r="F1" s="45"/>
      <c r="G1" s="45"/>
      <c r="H1" s="45"/>
      <c r="I1" s="45"/>
      <c r="J1" s="45"/>
      <c r="K1" s="44" t="s">
        <v>9</v>
      </c>
    </row>
    <row r="2" spans="1:11" ht="19.5">
      <c r="A2" s="45" t="s">
        <v>389</v>
      </c>
      <c r="B2" s="45"/>
      <c r="C2" s="45"/>
      <c r="D2" s="45"/>
      <c r="E2" s="45"/>
      <c r="F2" s="45"/>
      <c r="G2" s="45"/>
      <c r="H2" s="45"/>
      <c r="I2" s="45"/>
      <c r="J2" s="45"/>
      <c r="K2" s="44" t="s">
        <v>15</v>
      </c>
    </row>
    <row r="3" spans="1:11" ht="19.5">
      <c r="A3" s="45" t="s">
        <v>390</v>
      </c>
      <c r="B3" s="45"/>
      <c r="C3" s="45"/>
      <c r="D3" s="45"/>
      <c r="E3" s="45"/>
      <c r="F3" s="45"/>
      <c r="G3" s="45"/>
      <c r="H3" s="45"/>
      <c r="I3" s="45"/>
      <c r="J3" s="45"/>
      <c r="K3" s="44" t="s">
        <v>34</v>
      </c>
    </row>
    <row r="4" spans="1:11" ht="19.5">
      <c r="A4" s="45" t="s">
        <v>391</v>
      </c>
      <c r="B4" s="45"/>
      <c r="C4" s="45"/>
      <c r="D4" s="45"/>
      <c r="E4" s="45"/>
      <c r="F4" s="45"/>
      <c r="G4" s="45"/>
      <c r="H4" s="45"/>
      <c r="I4" s="45"/>
      <c r="J4" s="45"/>
      <c r="K4" s="44"/>
    </row>
    <row r="5" spans="1:11" ht="19.5">
      <c r="A5" s="45" t="s">
        <v>14</v>
      </c>
      <c r="B5" s="45"/>
      <c r="C5" s="45"/>
      <c r="D5" s="45"/>
      <c r="E5" s="45"/>
      <c r="F5" s="45"/>
      <c r="G5" s="45"/>
      <c r="H5" s="45"/>
      <c r="I5" s="45"/>
      <c r="J5" s="45"/>
      <c r="K5" s="44"/>
    </row>
    <row r="6" spans="1:11" ht="19.5">
      <c r="A6" s="45"/>
      <c r="B6" s="45"/>
      <c r="C6" s="45"/>
      <c r="D6" s="45"/>
      <c r="E6" s="45"/>
      <c r="F6" s="45"/>
      <c r="G6" s="45"/>
      <c r="H6" s="45"/>
      <c r="I6" s="45"/>
      <c r="J6" s="45"/>
      <c r="K6" s="44"/>
    </row>
    <row r="7" spans="1:11" ht="19.5">
      <c r="A7" s="45"/>
      <c r="B7" s="45"/>
      <c r="C7" s="45"/>
      <c r="D7" s="45"/>
      <c r="E7" s="45"/>
      <c r="F7" s="45"/>
      <c r="G7" s="45"/>
      <c r="H7" s="45"/>
      <c r="I7" s="45"/>
      <c r="J7" s="45"/>
      <c r="K7" s="44"/>
    </row>
    <row r="8" spans="1:11" ht="19.5">
      <c r="A8" s="45"/>
      <c r="B8" s="45"/>
      <c r="C8" s="45"/>
      <c r="D8" s="45"/>
      <c r="E8" s="45"/>
      <c r="F8" s="45"/>
      <c r="G8" s="45"/>
      <c r="H8" s="45"/>
      <c r="I8" s="45"/>
      <c r="J8" s="45"/>
      <c r="K8" s="44"/>
    </row>
    <row r="9" spans="1:11" ht="19.5">
      <c r="A9" s="45"/>
      <c r="B9" s="45"/>
      <c r="C9" s="45"/>
      <c r="D9" s="45"/>
      <c r="E9" s="45"/>
      <c r="F9" s="45"/>
      <c r="G9" s="45"/>
      <c r="H9" s="45"/>
      <c r="I9" s="45"/>
      <c r="J9" s="45"/>
      <c r="K9" s="44"/>
    </row>
    <row r="10" spans="1:11" ht="19.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4"/>
    </row>
    <row r="11" spans="1:11" ht="19.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4"/>
    </row>
    <row r="12" spans="1:11" ht="19.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4"/>
    </row>
    <row r="13" spans="1:11" ht="19.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4"/>
    </row>
    <row r="14" spans="1:11" ht="19.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4"/>
    </row>
    <row r="15" spans="1:11" ht="19.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4"/>
    </row>
    <row r="16" spans="1:11" ht="19.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4"/>
    </row>
    <row r="17" spans="11:11" ht="19.5">
      <c r="K17" s="44"/>
    </row>
    <row r="18" spans="11:11" ht="19.5">
      <c r="K18" s="44"/>
    </row>
    <row r="19" spans="11:11" ht="19.5">
      <c r="K19" s="44"/>
    </row>
    <row r="20" spans="11:11" ht="19.5">
      <c r="K20" s="44"/>
    </row>
    <row r="21" spans="11:11" ht="19.5">
      <c r="K21" s="44"/>
    </row>
    <row r="22" spans="11:11" ht="19.5">
      <c r="K22" s="44"/>
    </row>
    <row r="23" spans="11:11" ht="19.5">
      <c r="K23" s="44"/>
    </row>
    <row r="24" spans="11:11" ht="19.5">
      <c r="K24" s="44"/>
    </row>
    <row r="25" spans="11:11" ht="19.5">
      <c r="K25" s="44"/>
    </row>
  </sheetData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7683C-6550-4EBA-8FAF-9B005B13E38A}">
  <sheetPr codeName="Sheet7"/>
  <dimension ref="Q4:T4"/>
  <sheetViews>
    <sheetView workbookViewId="0">
      <selection activeCell="L38" sqref="L38"/>
    </sheetView>
  </sheetViews>
  <sheetFormatPr defaultRowHeight="15"/>
  <cols>
    <col min="19" max="19" width="9.42578125" bestFit="1" customWidth="1"/>
  </cols>
  <sheetData>
    <row r="4" spans="17:20" ht="39.950000000000003" customHeight="1">
      <c r="Q4" s="55" t="s">
        <v>1</v>
      </c>
      <c r="R4" s="56"/>
      <c r="S4" s="57">
        <v>45802</v>
      </c>
      <c r="T4" s="58"/>
    </row>
  </sheetData>
  <mergeCells count="2">
    <mergeCell ref="Q4:R4"/>
    <mergeCell ref="S4:T4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lear_WorkBook_Button">
                <anchor moveWithCells="1" sizeWithCells="1">
                  <from>
                    <xdr:col>6</xdr:col>
                    <xdr:colOff>600075</xdr:colOff>
                    <xdr:row>24</xdr:row>
                    <xdr:rowOff>171450</xdr:rowOff>
                  </from>
                  <to>
                    <xdr:col>14</xdr:col>
                    <xdr:colOff>428625</xdr:colOff>
                    <xdr:row>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Export_WorkBook_To_PDF">
                <anchor moveWithCells="1" sizeWithCells="1">
                  <from>
                    <xdr:col>6</xdr:col>
                    <xdr:colOff>590550</xdr:colOff>
                    <xdr:row>2</xdr:row>
                    <xdr:rowOff>95250</xdr:rowOff>
                  </from>
                  <to>
                    <xdr:col>14</xdr:col>
                    <xdr:colOff>419100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Save_And_Clear_WorkBook">
                <anchor moveWithCells="1" sizeWithCells="1">
                  <from>
                    <xdr:col>6</xdr:col>
                    <xdr:colOff>600075</xdr:colOff>
                    <xdr:row>13</xdr:row>
                    <xdr:rowOff>152400</xdr:rowOff>
                  </from>
                  <to>
                    <xdr:col>14</xdr:col>
                    <xdr:colOff>428625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Autofill_Today_For_WorkBook_Date">
                <anchor moveWithCells="1" sizeWithCells="1">
                  <from>
                    <xdr:col>20</xdr:col>
                    <xdr:colOff>66675</xdr:colOff>
                    <xdr:row>3</xdr:row>
                    <xdr:rowOff>57150</xdr:rowOff>
                  </from>
                  <to>
                    <xdr:col>23</xdr:col>
                    <xdr:colOff>285750</xdr:colOff>
                    <xdr:row>3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E88A8-B0D2-484A-AEFA-B597BB0D6D49}">
  <sheetPr codeName="Sheet6"/>
  <dimension ref="A1:E4"/>
  <sheetViews>
    <sheetView workbookViewId="0">
      <selection activeCell="H39" sqref="H39"/>
    </sheetView>
  </sheetViews>
  <sheetFormatPr defaultRowHeight="15"/>
  <cols>
    <col min="1" max="1" width="27.42578125" customWidth="1"/>
    <col min="2" max="2" width="9.42578125" bestFit="1" customWidth="1"/>
  </cols>
  <sheetData>
    <row r="1" spans="1:5">
      <c r="A1" s="45" t="s">
        <v>392</v>
      </c>
      <c r="B1" s="36">
        <v>45796</v>
      </c>
      <c r="C1" s="45"/>
      <c r="D1" s="45"/>
      <c r="E1" s="45"/>
    </row>
    <row r="2" spans="1:5">
      <c r="A2" s="45" t="s">
        <v>393</v>
      </c>
      <c r="B2" s="45" t="s">
        <v>394</v>
      </c>
      <c r="C2" s="45" t="s">
        <v>395</v>
      </c>
      <c r="D2" s="45" t="s">
        <v>396</v>
      </c>
      <c r="E2" s="45" t="s">
        <v>397</v>
      </c>
    </row>
    <row r="3" spans="1:5">
      <c r="A3" s="45" t="s">
        <v>385</v>
      </c>
      <c r="B3" s="45"/>
      <c r="C3" s="45"/>
      <c r="D3" s="45"/>
      <c r="E3" s="45"/>
    </row>
    <row r="4" spans="1:5">
      <c r="A4" s="45" t="s">
        <v>398</v>
      </c>
      <c r="B4" s="45"/>
      <c r="C4" s="45"/>
      <c r="D4" s="45"/>
      <c r="E4" s="45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C32B728-8C85-4798-91F3-93B6DCCB627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Felipe Gonzalez</dc:creator>
  <cp:keywords/>
  <dc:description/>
  <cp:lastModifiedBy>Devin Grischow</cp:lastModifiedBy>
  <cp:revision/>
  <dcterms:created xsi:type="dcterms:W3CDTF">2025-05-07T18:38:05Z</dcterms:created>
  <dcterms:modified xsi:type="dcterms:W3CDTF">2025-06-12T16:21:57Z</dcterms:modified>
  <cp:category/>
  <cp:contentStatus/>
</cp:coreProperties>
</file>